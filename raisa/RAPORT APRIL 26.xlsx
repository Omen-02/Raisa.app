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 RAPORT\"/>
    </mc:Choice>
  </mc:AlternateContent>
  <xr:revisionPtr revIDLastSave="0" documentId="13_ncr:1_{BD4CD92C-CD64-49BD-BAC4-3440A1CB1E0C}" xr6:coauthVersionLast="47" xr6:coauthVersionMax="47" xr10:uidLastSave="{00000000-0000-0000-0000-000000000000}"/>
  <bookViews>
    <workbookView xWindow="2460" yWindow="1632" windowWidth="19728" windowHeight="8880" activeTab="2" xr2:uid="{3B9D0D02-E57E-4111-AB45-5F07711955EA}"/>
  </bookViews>
  <sheets>
    <sheet name="NILAI RAPORT" sheetId="1" r:id="rId1"/>
    <sheet name="NILAI CSO" sheetId="2" r:id="rId2"/>
    <sheet name="RANKING CSO PEMOL REG" sheetId="3" r:id="rId3"/>
    <sheet name="RANKING CSO PEMOL PKWT PROVIS" sheetId="4" r:id="rId4"/>
  </sheets>
  <definedNames>
    <definedName name="_xlnm._FilterDatabase" localSheetId="2" hidden="1">'RANKING CSO PEMOL REG'!$A$1:$G$453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6" i="2" l="1"/>
  <c r="T12" i="2"/>
  <c r="H2" i="3"/>
  <c r="T504" i="2" a="1"/>
  <c r="T50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<sst xmlns="http://schemas.openxmlformats.org/spreadsheetml/2006/main" count="5239" uniqueCount="713">
  <si>
    <t>PENILAIAN INDIVIDU CSO PEMREK ONLINE</t>
  </si>
  <si>
    <t>ADITYA SETIAWAN (ADS)</t>
  </si>
  <si>
    <t>SCORE TEAM</t>
  </si>
  <si>
    <t>NO</t>
  </si>
  <si>
    <t>Nama CSO</t>
  </si>
  <si>
    <t>KEHADIRAN</t>
  </si>
  <si>
    <t>KEPATUHAN</t>
  </si>
  <si>
    <t>PRODUKTIVITAS</t>
  </si>
  <si>
    <t>PEMREK</t>
  </si>
  <si>
    <t>SL 4.30 MENIT</t>
  </si>
  <si>
    <t>NILAI CM</t>
  </si>
  <si>
    <t>AKURASI</t>
  </si>
  <si>
    <t>CALL TERPUTUS</t>
  </si>
  <si>
    <t>PUJIAN</t>
  </si>
  <si>
    <t>CROSSELING</t>
  </si>
  <si>
    <t>NILAI</t>
  </si>
  <si>
    <t>ST-SP</t>
  </si>
  <si>
    <t>NILAI AKHIR ALL</t>
  </si>
  <si>
    <t>BOBOT</t>
  </si>
  <si>
    <t>AKHIR</t>
  </si>
  <si>
    <t>BOBOT SCORE</t>
  </si>
  <si>
    <t>GRAHITA RATU CANTIKA</t>
  </si>
  <si>
    <t>ADELIA NOVIANTI KURNIA PRAMAISHEILLA</t>
  </si>
  <si>
    <t>ABEL CAPAN FAUZAN</t>
  </si>
  <si>
    <t>IKHSAN ARIF MAULANA</t>
  </si>
  <si>
    <t>NANDINY MUTIARA JENIFER WAWO</t>
  </si>
  <si>
    <t>FEBRIELLA SUSENO</t>
  </si>
  <si>
    <t>BULAN INI</t>
  </si>
  <si>
    <t>AHMAD FAUZI (AFI)</t>
  </si>
  <si>
    <t>ALHIR</t>
  </si>
  <si>
    <t>QIA DINDA FADILLA</t>
  </si>
  <si>
    <t>RIZKYKA IVANA PUTRI</t>
  </si>
  <si>
    <t>VITTO RAMADHAN ADIANSYAH</t>
  </si>
  <si>
    <t>WIDIA AGUSTINA</t>
  </si>
  <si>
    <t>CATHERINE PUTRI WIJAYA</t>
  </si>
  <si>
    <t>ADHITYA KRESNA SANDHI (AKS)</t>
  </si>
  <si>
    <t>DINDA NABILAH</t>
  </si>
  <si>
    <t>EDO FEBRIANSYAH</t>
  </si>
  <si>
    <t>AHMAD HIDAYAT</t>
  </si>
  <si>
    <t>NESHWA BINTANG ALFARIZI</t>
  </si>
  <si>
    <t>ALMER FAIZ PRIADY</t>
  </si>
  <si>
    <t>MUHAMMAD ICHSAN IMARO</t>
  </si>
  <si>
    <t>AMELIA WULANDARI (AML)</t>
  </si>
  <si>
    <t>CLERY YOSEFANIA</t>
  </si>
  <si>
    <t>YOLANDA SITI HAJAR</t>
  </si>
  <si>
    <t>FAHMI NAUFAL DAVKA</t>
  </si>
  <si>
    <t>MOHAMAD ADITYA MULAWARMAN</t>
  </si>
  <si>
    <t>TESALONIKA NARWASTU SINAGA</t>
  </si>
  <si>
    <t>ANGGUN PRAMADITA (APR)</t>
  </si>
  <si>
    <t>THASYA LENOVISIA</t>
  </si>
  <si>
    <t>NUR FITRI HASANAH</t>
  </si>
  <si>
    <t>SHAQILA MAHARANI</t>
  </si>
  <si>
    <t>MUHAMMAD DZAKY CHANDRA ARIFIN</t>
  </si>
  <si>
    <t>MOCHAMAD AKBAR RAFIANDI MULIADI</t>
  </si>
  <si>
    <t>NUR ANJANI ANISA PAUZIA RAHMAN</t>
  </si>
  <si>
    <t>ALWI ROBASA GIRSANG (AWI)</t>
  </si>
  <si>
    <t>ALVIN SYAHRUL JENI</t>
  </si>
  <si>
    <t>TASYA NABILLA</t>
  </si>
  <si>
    <t>ENDRI ALFIAN</t>
  </si>
  <si>
    <t>IMANUEL RYMALDI MATATULA</t>
  </si>
  <si>
    <t>FAIDAL BARAKA</t>
  </si>
  <si>
    <t>LALA BERLIANTY WARUWU</t>
  </si>
  <si>
    <t>BILLY (BIL)</t>
  </si>
  <si>
    <t>ADELINA PATRICIA</t>
  </si>
  <si>
    <t>MAELANI AGNIA</t>
  </si>
  <si>
    <t>FANNY AULIA RIZKY</t>
  </si>
  <si>
    <t>INDY ANASTASYA NAZLA AMALY</t>
  </si>
  <si>
    <t>RIZQI WARISNA</t>
  </si>
  <si>
    <t>BRYAN INZAGHI HALIM (BRY)</t>
  </si>
  <si>
    <t>WIDYA NOVRILIN SITANGGANG</t>
  </si>
  <si>
    <t>FITRI NOKIALITA</t>
  </si>
  <si>
    <t>ALFIA RAHMAYANTI MAWARDANA</t>
  </si>
  <si>
    <t>INEKE SHINTIA DEWI</t>
  </si>
  <si>
    <t>VINA AURELIA</t>
  </si>
  <si>
    <t>NENKA YULIA PURWANTI</t>
  </si>
  <si>
    <t>BUDI HARTONO (BUD)</t>
  </si>
  <si>
    <t>MONICA ANDREA SETIADY</t>
  </si>
  <si>
    <t>FADILLAH AL FARUQ</t>
  </si>
  <si>
    <t>REYNALDI MARIAN JOHANIS KERAP</t>
  </si>
  <si>
    <t>REGA ANUGERAH AKBAR</t>
  </si>
  <si>
    <t>DEVIN NOVELLY</t>
  </si>
  <si>
    <t>RIDWAN</t>
  </si>
  <si>
    <t>AHMAD GUNAWAN</t>
  </si>
  <si>
    <t>SISCA SITI DJUBAIDAH (CIS)</t>
  </si>
  <si>
    <t>RACHEL PATRICIA SIBORO</t>
  </si>
  <si>
    <t>MUHAMMAD APIPUDIN</t>
  </si>
  <si>
    <t>BATARA BURUCHAGA SYAH PANE</t>
  </si>
  <si>
    <t>ELISA OKTAMARIANI SIRAIT</t>
  </si>
  <si>
    <t>NABILLA SYAFA AT WAHYUDDY</t>
  </si>
  <si>
    <t>CLAUDIA OKTAVIA NICK GUNAWAN (CLO)</t>
  </si>
  <si>
    <t>ULFAH PADILAH</t>
  </si>
  <si>
    <t>DWI ARYANI</t>
  </si>
  <si>
    <t>PINTA OMASULI PANJAITAN</t>
  </si>
  <si>
    <t>MELLISA CHANDRA KUSUMAWARDHAI</t>
  </si>
  <si>
    <t>MATIUS GANDHA RAHADIAN YOASTA</t>
  </si>
  <si>
    <t>Chyntia Wijaya (CTA)</t>
  </si>
  <si>
    <t>YOHANES ARISTOTELES TULUS</t>
  </si>
  <si>
    <t>RUTH IRA ANGEL BR MANURUNG</t>
  </si>
  <si>
    <t>SUSENO</t>
  </si>
  <si>
    <t>DEBORA</t>
  </si>
  <si>
    <t>DIANA PUTRI</t>
  </si>
  <si>
    <t>Christin Yolanda Sirait (CYS)</t>
  </si>
  <si>
    <t>IVAN TIRTA PRASETYO</t>
  </si>
  <si>
    <t>YUSUF WAHYU RACHMATULLOH</t>
  </si>
  <si>
    <t>ARNITA</t>
  </si>
  <si>
    <t>HERI HERDIANSYAH</t>
  </si>
  <si>
    <t>VELERIE SAMALLO</t>
  </si>
  <si>
    <t>KETRIN SILVIKA DINDA</t>
  </si>
  <si>
    <t>MELATI DWI SANTI</t>
  </si>
  <si>
    <t>AINI DESYANA PUTRI (DES)</t>
  </si>
  <si>
    <t>ERWAN ADY SAPUTRO</t>
  </si>
  <si>
    <t>FADIAH HUSNA PRASTUTI</t>
  </si>
  <si>
    <t>RAFAEL GIBRAN</t>
  </si>
  <si>
    <t>MONICA TASYA OKTAVIANY TAMBA</t>
  </si>
  <si>
    <t>NATHANIA VIENNY DARSONO</t>
  </si>
  <si>
    <t>DEVA DIMASKI PANDITYA LUBIS (DEV)</t>
  </si>
  <si>
    <t>KETHLIN WIENATA</t>
  </si>
  <si>
    <t>DEBORA SHYNTIA SIREGAR</t>
  </si>
  <si>
    <t>DEBBY REVIYALDI</t>
  </si>
  <si>
    <t>NADA SYIFA</t>
  </si>
  <si>
    <t>MARISSHA INDAH</t>
  </si>
  <si>
    <t>LAELI SIDIK FEBRIANTO (DIK)</t>
  </si>
  <si>
    <t>JESSICA PANGGABEAN</t>
  </si>
  <si>
    <t>ZALIKA ADZANI</t>
  </si>
  <si>
    <t>ESTER KEREN SIMBOLON</t>
  </si>
  <si>
    <t>HANNA CRISTINA RUMAHORBO</t>
  </si>
  <si>
    <t>ADITYA KRISMAY NAKY</t>
  </si>
  <si>
    <t>REFTY APRILLIA</t>
  </si>
  <si>
    <t>DIMAS RIZKI PRAYITNO (DMS)</t>
  </si>
  <si>
    <t>RAKASIWI PUTRA NURSANTO</t>
  </si>
  <si>
    <t>MUHAMAD FAIZAL RAMADHAN</t>
  </si>
  <si>
    <t>SHERLY EKA PUTRI</t>
  </si>
  <si>
    <t>MICKO ANDRIAWAN SAMSUDIN</t>
  </si>
  <si>
    <t>ANATASYA MARCELINA SIRAIT</t>
  </si>
  <si>
    <t>ASTI ALYA</t>
  </si>
  <si>
    <t>Muhammad Daffa Pratama (DPR)</t>
  </si>
  <si>
    <t>ERISA NURFALAH</t>
  </si>
  <si>
    <t>RAHAYU PUSPITA DEWI</t>
  </si>
  <si>
    <t>KURNIA</t>
  </si>
  <si>
    <t>DIKA ROSALINA GOLANDA</t>
  </si>
  <si>
    <t>MARTHINO BRITAIN BRADLEY LUKAR</t>
  </si>
  <si>
    <t>LAILISHAFITRI NURULCHAIRAT</t>
  </si>
  <si>
    <t>DERRY RAMADHAN (DRY)</t>
  </si>
  <si>
    <t>RENSIANTI TIA A SALUPUK</t>
  </si>
  <si>
    <t>TEDDY NATA JAYA PURBA</t>
  </si>
  <si>
    <t>PUJA FITRIA WULANDARI</t>
  </si>
  <si>
    <t>JACKLYN ANGELINA</t>
  </si>
  <si>
    <t>IMANUEL FRANSESKO JORDAN TUMBUAN</t>
  </si>
  <si>
    <t>Marchel Pratama Hulu</t>
  </si>
  <si>
    <t>SARAH NABILA PUTRI</t>
  </si>
  <si>
    <t>FIKRI MUHAMMAD HAIKAL (FIK)</t>
  </si>
  <si>
    <t>GABRIELLA NAINGGOLAN</t>
  </si>
  <si>
    <t>JENNY PUTRI SIAHAAN</t>
  </si>
  <si>
    <t>HELEN BR SITEPU</t>
  </si>
  <si>
    <t>MUHAMMAD REVAL MAULANA</t>
  </si>
  <si>
    <t>SYAFA RAMADHANI HARJA</t>
  </si>
  <si>
    <t>SATRIO BISMA BRAMANTYO</t>
  </si>
  <si>
    <t>FEBHI LHORA ICHA BR SEMBIRING (FLI)</t>
  </si>
  <si>
    <t>CHRIS PETER</t>
  </si>
  <si>
    <t>GADING PRAMESTI</t>
  </si>
  <si>
    <t>ICA LOVILIA</t>
  </si>
  <si>
    <t>NAJWA KAMILAH</t>
  </si>
  <si>
    <t>VIONA SALSABILAH RIZALSJA</t>
  </si>
  <si>
    <t>GISHELLA ANANDA PUTRI (GSA)</t>
  </si>
  <si>
    <t>RUTH YOHANA SARAGIH</t>
  </si>
  <si>
    <t>DIMAS NAUFAL ADIGUNA</t>
  </si>
  <si>
    <t>FAISAL</t>
  </si>
  <si>
    <t>LAUREN</t>
  </si>
  <si>
    <t>GEBY SEPTI BERLIANA</t>
  </si>
  <si>
    <t>PAMELA RUSLIANI</t>
  </si>
  <si>
    <t>CHRISTABELLA JOSA LIDYA</t>
  </si>
  <si>
    <t>MELIYANTI AGUSTINA</t>
  </si>
  <si>
    <t>HARUN AL RASYID (HAI)</t>
  </si>
  <si>
    <t>RUSLAN UBAIDILLAH</t>
  </si>
  <si>
    <t>SHIVA AYESHA</t>
  </si>
  <si>
    <t>STEVEN LEONARDI</t>
  </si>
  <si>
    <t>PUTRI NUR MAULIDDINA</t>
  </si>
  <si>
    <t>CINDY EKA SAFHIRA</t>
  </si>
  <si>
    <t>INDIRA ADIESTA (IDR)</t>
  </si>
  <si>
    <t>FANESSA J MAHARANI</t>
  </si>
  <si>
    <t>TIKA SUSI PANJAITAN</t>
  </si>
  <si>
    <t>DHEA KRISTINA ARDYATI</t>
  </si>
  <si>
    <t>YESCHINTA BELLA S</t>
  </si>
  <si>
    <t>CHAEZAR EDDEN</t>
  </si>
  <si>
    <t>ARLEN ILYASSA (ILY)</t>
  </si>
  <si>
    <t>MUHAMAD TEGAR</t>
  </si>
  <si>
    <t>SALSABILA PUTRI</t>
  </si>
  <si>
    <t>ADINDA PUTRI ANTASARI</t>
  </si>
  <si>
    <t>FADHIL ARDIANSYAH PUTRA INDRA</t>
  </si>
  <si>
    <t>MARIANI PURBA</t>
  </si>
  <si>
    <t>KATARINA VAN BORA T SIDEBANG</t>
  </si>
  <si>
    <t>HERLINA ROSITA FEBRIANTI (INA)</t>
  </si>
  <si>
    <t>MUHAMAD RADO</t>
  </si>
  <si>
    <t>CATHERINE ENDHITA SEMBIRING MELIALA</t>
  </si>
  <si>
    <t>HENY PAUJIA MANIK</t>
  </si>
  <si>
    <t>INDY RACHMAWATI</t>
  </si>
  <si>
    <t>LINTANG DINDA NAVISHA</t>
  </si>
  <si>
    <t>ILHAM PURWA UTAMA (IPU)</t>
  </si>
  <si>
    <t>OTNIEL KRIS AWANTIKAPUTRA</t>
  </si>
  <si>
    <t>RAHEL EZRA YOBELINA</t>
  </si>
  <si>
    <t>ANGGA DWI MARYANTO</t>
  </si>
  <si>
    <t>GREGORIUS ADHYASTA RADITYA</t>
  </si>
  <si>
    <t>ESTI ARRUM ISMIATI</t>
  </si>
  <si>
    <t>HADRANUS RANGGA WIJAYA</t>
  </si>
  <si>
    <t>JEFRI (JEF)</t>
  </si>
  <si>
    <t>ALIVIA ANDINI</t>
  </si>
  <si>
    <t>FAYZA YOGI DIANDARI</t>
  </si>
  <si>
    <t>LIA HERAWATI</t>
  </si>
  <si>
    <t>D. CHRISTY IMELDA LASE</t>
  </si>
  <si>
    <t>ANNISA AMELIA</t>
  </si>
  <si>
    <t>JEZZLIN (JEZ)</t>
  </si>
  <si>
    <t>MEYGA SARI SUSANTI PURBA</t>
  </si>
  <si>
    <t>DELA EILEN</t>
  </si>
  <si>
    <t>CHRISTINA LIA TARIHORAN</t>
  </si>
  <si>
    <t>SALVARA AULIA THAHER</t>
  </si>
  <si>
    <t>AGITA ZHAFIRA</t>
  </si>
  <si>
    <t>DANIELLA EKLESIA WILHELMINA</t>
  </si>
  <si>
    <t>JOHAN MUKODAM (JMU)</t>
  </si>
  <si>
    <t>DINI AGUSTIANI PUTRI</t>
  </si>
  <si>
    <t>BEALIANA ANGGUN RANI</t>
  </si>
  <si>
    <t>EVI IFON BAGUS WINDRIA</t>
  </si>
  <si>
    <t>ADINDA RIZKA ASSIFA</t>
  </si>
  <si>
    <t>MUHAMMAD MAHRIZ</t>
  </si>
  <si>
    <t>VENA ARDENIA</t>
  </si>
  <si>
    <t>MAULANI HIDAYATI (LAN)</t>
  </si>
  <si>
    <t>HENDI SUKMA WIJAYA</t>
  </si>
  <si>
    <t>BERNADETA OKTAVIANI</t>
  </si>
  <si>
    <t>VINA MARGARETHA</t>
  </si>
  <si>
    <t>RINTO HARAHAP</t>
  </si>
  <si>
    <t>JOANA PRIMA BASARIA NAPITUPULU</t>
  </si>
  <si>
    <t>LUHUR SETIAWAN (LHR)</t>
  </si>
  <si>
    <t>STEFANUS LUKITO ADIYANTO</t>
  </si>
  <si>
    <t>JACKVIN LEE</t>
  </si>
  <si>
    <t>MUHAMMAD ZAKY</t>
  </si>
  <si>
    <t>KARINA AYU MIRANTI</t>
  </si>
  <si>
    <t>YOHANA MARIA NOORDIKA</t>
  </si>
  <si>
    <t>DWINDA RIZKITA PERMAS (DWI)</t>
  </si>
  <si>
    <t>OCTAVIANA ANANDYA JASMINE</t>
  </si>
  <si>
    <t>ELISA SITORUS</t>
  </si>
  <si>
    <t>DISTA AYU PUJI ARYANI</t>
  </si>
  <si>
    <t>MUHAMMAD KEVIN FAISAL ABDALLA</t>
  </si>
  <si>
    <t>SAFIRA ARDINI</t>
  </si>
  <si>
    <t>HAIKAL AKBAR MAULANA</t>
  </si>
  <si>
    <t>MEYKE GABRIELLA TIYANA DEWI (MEG)</t>
  </si>
  <si>
    <t>HAYATUN NUFUS</t>
  </si>
  <si>
    <t>VINNETE FITRIANI SUHARSO</t>
  </si>
  <si>
    <t>GRACE BALLENCYA MARGARETHA MATANARI</t>
  </si>
  <si>
    <t>AGNES YOHANA SIMAMORA</t>
  </si>
  <si>
    <t>VIRGINIA DAPHNE RUMIMPUNU</t>
  </si>
  <si>
    <t>M GANJAR RAMADIANSYAH (MGR)</t>
  </si>
  <si>
    <t>JUNITA NEVIS NABABAN</t>
  </si>
  <si>
    <t>NADIA NATHALIA BR PURBA</t>
  </si>
  <si>
    <t>TIFANY SISGIA PUTRI</t>
  </si>
  <si>
    <t>INDAH FEBRIANTY</t>
  </si>
  <si>
    <t>OLIVIA RATNA DEWI</t>
  </si>
  <si>
    <t>BUNGA</t>
  </si>
  <si>
    <t>MITA DIAH SAPUTRI (MIT)</t>
  </si>
  <si>
    <t>RIZKI ALVARIZI</t>
  </si>
  <si>
    <t>MARIA FEBE SUMARNI</t>
  </si>
  <si>
    <t>VATRIA LUTHFI VEVIRIA CAHYONO</t>
  </si>
  <si>
    <t>GARNETA ISAURA DEWI</t>
  </si>
  <si>
    <t>GALIH PUTRA SURYA</t>
  </si>
  <si>
    <t>DONA KUSUMAWATI</t>
  </si>
  <si>
    <t>MELLASARI FITRIANA PUTRI (MLA)</t>
  </si>
  <si>
    <t>MAXIMILIAN BAGUS SATRIO LANTANG</t>
  </si>
  <si>
    <t>DWIKA ELTANJUNG</t>
  </si>
  <si>
    <t>RESYA DANDY PRADANA</t>
  </si>
  <si>
    <t>ELLEONORA PUTRI LARASATI</t>
  </si>
  <si>
    <t>LUSIA GITA PERMATA</t>
  </si>
  <si>
    <t>JAMALU LAIL</t>
  </si>
  <si>
    <t>MELVIANI SALSABILAH (MLV)</t>
  </si>
  <si>
    <t>MUHAMMAD AUFA BASYARAHIL FAJARI</t>
  </si>
  <si>
    <t>WYNE CAROLINA</t>
  </si>
  <si>
    <t>SHERIN HILLARY CHANNEL</t>
  </si>
  <si>
    <t>GRACELLA ESTHER KOLONDAM</t>
  </si>
  <si>
    <t>SISCA DITA ANGELINA</t>
  </si>
  <si>
    <t>DEWI PUSPITASARI</t>
  </si>
  <si>
    <t>MELLYA DYAH MEGAWATI (MLY)</t>
  </si>
  <si>
    <t>MARIA YOHANNA NOVITA METEKOHY</t>
  </si>
  <si>
    <t>MUHAMMAD AVISENA</t>
  </si>
  <si>
    <t>REVAN GUSTI PRATAMA</t>
  </si>
  <si>
    <t>PATRICK PUTRA PRATAMA SEPTIAN</t>
  </si>
  <si>
    <t>CELINE ANGGITA PINONTOAN</t>
  </si>
  <si>
    <t>ZAHRA AMELIA PUTRI</t>
  </si>
  <si>
    <t>MUKHAMAD ZAENNUR REZKI (MZR)</t>
  </si>
  <si>
    <t>TYA MULIATI</t>
  </si>
  <si>
    <t>ESTEFANIA</t>
  </si>
  <si>
    <t>FAFA HUSEIN PUTRA UTAMA</t>
  </si>
  <si>
    <t>AGNES MAXIMILIANA HERLITA SUSANTO</t>
  </si>
  <si>
    <t>GEBA MAWAR SARON</t>
  </si>
  <si>
    <t>HAFIZH IRFANARIQ BAHTIAR</t>
  </si>
  <si>
    <t>Nadya Firamida (NAD)</t>
  </si>
  <si>
    <t>ESTHER PURBA</t>
  </si>
  <si>
    <t>ANDRIANSYAH</t>
  </si>
  <si>
    <t>MUHAMAD AZHAR FATHURAHMAN</t>
  </si>
  <si>
    <t>SARA DHIBA OETAMI</t>
  </si>
  <si>
    <t>ELZA MANURUNG</t>
  </si>
  <si>
    <t>ANISYA DWI WIDIANINGRUM</t>
  </si>
  <si>
    <t>KEZIA MADELIENE</t>
  </si>
  <si>
    <t>NUR AMMILATUL LAILIA (NAM)</t>
  </si>
  <si>
    <t>DEVI YULIANA MANURUNG</t>
  </si>
  <si>
    <t>JOSEPHA</t>
  </si>
  <si>
    <t>ADITYA RAFI ALYUMNA</t>
  </si>
  <si>
    <t>PRETTY JENNY ANANDA</t>
  </si>
  <si>
    <t>TERESIA ASWATI WULANDARI</t>
  </si>
  <si>
    <t>MUHAMMAD CAHYA NUGRAHA</t>
  </si>
  <si>
    <t>NIA PEBRIYANTI (NIA)</t>
  </si>
  <si>
    <t>VIOLETA AURELIA</t>
  </si>
  <si>
    <t>DEDE FELIX KANDUNMAS</t>
  </si>
  <si>
    <t>RACHEL NATHANIA NUGROHO</t>
  </si>
  <si>
    <t>RICKI SEPTI ARISANDI</t>
  </si>
  <si>
    <t>YOHANA DEBORA KRISTIANA</t>
  </si>
  <si>
    <t>NOEL INGRID (NOE)</t>
  </si>
  <si>
    <t>DIKI WAHYUDI</t>
  </si>
  <si>
    <t>PUTRI PANGESTUTI SETIAWAN</t>
  </si>
  <si>
    <t>LESTARI NAOMI WOSTRI</t>
  </si>
  <si>
    <t>GUSTINANDA PRIATNA</t>
  </si>
  <si>
    <t>NABIILAH HANIIFAH BASRI</t>
  </si>
  <si>
    <t>DHEVA MARSHA GUNAWAN</t>
  </si>
  <si>
    <t>NUGRAHA AHDAYANI PUTRA (NUG)</t>
  </si>
  <si>
    <t>REGIYANDINI SHAUMMITHA</t>
  </si>
  <si>
    <t>TIARA WINDA NOVITA</t>
  </si>
  <si>
    <t>MUHAMAD FERIEL RIZKI ILAHI</t>
  </si>
  <si>
    <t>MUTIARA FEBRIYANTI PUTERI R</t>
  </si>
  <si>
    <t>SYIFA SILFIANI</t>
  </si>
  <si>
    <t>STEFANUS BUDIMAN (NUS)</t>
  </si>
  <si>
    <t>PAULINA AGUSTINE MEO DHEY</t>
  </si>
  <si>
    <t>VIKA AMELIA</t>
  </si>
  <si>
    <t>YOSEPHINE RUT SITOMPUL</t>
  </si>
  <si>
    <t>TATA ANANTA NUR JUWARSO</t>
  </si>
  <si>
    <t>AURA AMANDA PUSPITA NASUTION</t>
  </si>
  <si>
    <t>PULUNG BARITA SIPAYUNG (PBS)</t>
  </si>
  <si>
    <t>IVANALI</t>
  </si>
  <si>
    <t>MELLISA MAGDALENA YUDHA</t>
  </si>
  <si>
    <t>AGUNG TAMRIN</t>
  </si>
  <si>
    <t>THANIA DWI APRILIA NABABAN</t>
  </si>
  <si>
    <t>AGNES FRENGKY ZAI</t>
  </si>
  <si>
    <t>FEBRI MAY WINDI HUTABARAT</t>
  </si>
  <si>
    <t>ROMANDO ANTONIUS GIRSANG (RAG)</t>
  </si>
  <si>
    <t>ANDI RAMDANI</t>
  </si>
  <si>
    <t>SEPTA MONIKA TOBING</t>
  </si>
  <si>
    <t>FLORA FLORENTINA BR MARPAUNG</t>
  </si>
  <si>
    <t>FARAH KHAIRUNISA RACHMAN</t>
  </si>
  <si>
    <t>LUTFI YUVALINDA NAFA KUSUMA</t>
  </si>
  <si>
    <t>RAYNALDI (RAY)</t>
  </si>
  <si>
    <t>AZRIEL WIJAYA AKBAR</t>
  </si>
  <si>
    <t>DEVITA MARTIYANA</t>
  </si>
  <si>
    <t>RAFLI ADITIYA</t>
  </si>
  <si>
    <t>STELLA RERA PAO TONAN</t>
  </si>
  <si>
    <t>HANIFA SHAFA PUTRI</t>
  </si>
  <si>
    <t>ERINA PEBRINA (RIN)</t>
  </si>
  <si>
    <t>SASY YURIKA</t>
  </si>
  <si>
    <t>YOSIA SAN ELSAS GINTING</t>
  </si>
  <si>
    <t>ADINDA PUTRI APRILIA</t>
  </si>
  <si>
    <t>NI PUTU KARTIKA DEWI</t>
  </si>
  <si>
    <t>ELVARA RIZKI YUNIAR</t>
  </si>
  <si>
    <t>ROBI SETIAWAN (ROB)</t>
  </si>
  <si>
    <t>GEBI TAMARA MANURUNG</t>
  </si>
  <si>
    <t>YANSE TRIFOSA CHARLIANA MILLU</t>
  </si>
  <si>
    <t>MUHAMMAD RAFLI SEFTIAN</t>
  </si>
  <si>
    <t>GITA NOVITASARI</t>
  </si>
  <si>
    <t>AHMAD REZA</t>
  </si>
  <si>
    <t>ABDUL ROCHMAN (ROC)</t>
  </si>
  <si>
    <t>VITO RIO WICAKSONO</t>
  </si>
  <si>
    <t>NESYA FERNANDA PUTRI</t>
  </si>
  <si>
    <t>AMELIA IVANA LIMANTRA</t>
  </si>
  <si>
    <t>EGGI SAPUTRA</t>
  </si>
  <si>
    <t>AZRA ZETTI</t>
  </si>
  <si>
    <t>RENALDA DANU DWIKY SAHPUTRO</t>
  </si>
  <si>
    <t>MOHAMMAD JUMRONI (RON)</t>
  </si>
  <si>
    <t>ANNISA ADINA PUTRI</t>
  </si>
  <si>
    <t>BINTANG RESTU WIDHIATMOKO</t>
  </si>
  <si>
    <t>SHERLY PATRICIA</t>
  </si>
  <si>
    <t>RASDIANA SAGITA SARAGIH</t>
  </si>
  <si>
    <t>PRISILIA TIARA MUNICA</t>
  </si>
  <si>
    <t>FAISHAL DANY ALVIAN</t>
  </si>
  <si>
    <t>RISKA ARINDA ONDANG (RSK)</t>
  </si>
  <si>
    <t>FENINDA AURORA JASMINE</t>
  </si>
  <si>
    <t>GAUNG RIZKI GUSTIAJI</t>
  </si>
  <si>
    <t>VITO ARRAHMAN PRAKOSO</t>
  </si>
  <si>
    <t>AL FIRA</t>
  </si>
  <si>
    <t>HAURA AZZA NABILA</t>
  </si>
  <si>
    <t>SHAM AGUNG WIJAYADI (SAM)</t>
  </si>
  <si>
    <t>IMELDA SARI BR SITEPU</t>
  </si>
  <si>
    <t>FRIDA MOURENT</t>
  </si>
  <si>
    <t>LIDYA CANTIKA</t>
  </si>
  <si>
    <t>ABIGAIL DIVA LALOLO KOJANSOW</t>
  </si>
  <si>
    <t>JESRIEL IMMANUEL SIRAIT</t>
  </si>
  <si>
    <t>RANNY RAHEL ANGELIA</t>
  </si>
  <si>
    <t>SARA YULINDA RATNA PUSPITA (SAR)</t>
  </si>
  <si>
    <t>ALI RAKAN SOLIHIN</t>
  </si>
  <si>
    <t>CHRISTINE ROMORA PARDEDE</t>
  </si>
  <si>
    <t>NISKALA HARUM KENCANA</t>
  </si>
  <si>
    <t>MUHAMAD INDRA SAPUTRA</t>
  </si>
  <si>
    <t>EVY SONANG HANANIA SAMOSIR</t>
  </si>
  <si>
    <t>OCTTIYA NUSEMA</t>
  </si>
  <si>
    <t>MARSHA NATHANIA (SHA)</t>
  </si>
  <si>
    <t>THERESIA SYLEVY KARESINA</t>
  </si>
  <si>
    <t>FITRI FANNY TAMPUBOLON</t>
  </si>
  <si>
    <t>KIMBERLY CHRISTY RINDIANI</t>
  </si>
  <si>
    <t>YOSI DEA ANGELA</t>
  </si>
  <si>
    <t>PUTRI DEA ANDESTA</t>
  </si>
  <si>
    <t>SAMUEL ANTONY SUGIAWAN (SMY)</t>
  </si>
  <si>
    <t>ERIKA DINDA ANGGRAENI</t>
  </si>
  <si>
    <t>ALMAS SULTAN</t>
  </si>
  <si>
    <t>ENDANG FITRI BR MANURUNG</t>
  </si>
  <si>
    <t>FIERA SAFFANA</t>
  </si>
  <si>
    <t>HANI WULANDARI</t>
  </si>
  <si>
    <t>SYNTHIA MAGDALENA GUNAWAN (SYN)</t>
  </si>
  <si>
    <t>VANESA TESALONIKA PRATASIK</t>
  </si>
  <si>
    <t>KHATYA AMIRA RAMADHANIA</t>
  </si>
  <si>
    <t>IVAN ANOTONA</t>
  </si>
  <si>
    <t>CHRISTIAN PRAWIRA MATONDANG</t>
  </si>
  <si>
    <t>MUHAMMAD KAHLIL GIBRAN</t>
  </si>
  <si>
    <t>ULFA AIDA FITRI (ULF)</t>
  </si>
  <si>
    <t>VALENCIA AUGUSTINE</t>
  </si>
  <si>
    <t>HAFIZH ALVA RIZKY</t>
  </si>
  <si>
    <t>KARINA PUTRI CANTIKA</t>
  </si>
  <si>
    <t>LAURA LOMBOAN</t>
  </si>
  <si>
    <t>ARIQ RAYHAN LESMANA</t>
  </si>
  <si>
    <t>ULFAH RIYANDINI (ULR)</t>
  </si>
  <si>
    <t>AISYAH PUTRI ISKANDAR</t>
  </si>
  <si>
    <t>MARTIN NAINGGOLAN</t>
  </si>
  <si>
    <t>LOEIS MARANATHA ARI</t>
  </si>
  <si>
    <t>NOVA ANANDA</t>
  </si>
  <si>
    <t>SYAHRUL RAMADHAN PUTRA.R</t>
  </si>
  <si>
    <t>RIZKY AYU SYAHARANI PUTRI (UTI)</t>
  </si>
  <si>
    <t>FIA FACHRANI AN NUR</t>
  </si>
  <si>
    <t>ELISABET JELITA TRIWIDIA ZEBUA</t>
  </si>
  <si>
    <t>FERY HANDOKO</t>
  </si>
  <si>
    <t>TOGI MARITO SIMANJUNTAK</t>
  </si>
  <si>
    <t>ADINDA SALSABILA</t>
  </si>
  <si>
    <t>VICKY YOGA PRATAMA HARAHAP (VIK)</t>
  </si>
  <si>
    <t>DINA INDRIYANI</t>
  </si>
  <si>
    <t>KEISHA CANDINI</t>
  </si>
  <si>
    <t>FRILLY DEBORA SARON KAWET</t>
  </si>
  <si>
    <t>JAVE ETHAN KING</t>
  </si>
  <si>
    <t>ALVARO HARYOKUSUMO</t>
  </si>
  <si>
    <t>CHRISTIN ALIFIA</t>
  </si>
  <si>
    <t>DAVIT (VIT)</t>
  </si>
  <si>
    <t>LIANI INSAN BARURI</t>
  </si>
  <si>
    <t>SETYAKI BAGUS SUNARKO</t>
  </si>
  <si>
    <t>FEBRIAN RIZKI</t>
  </si>
  <si>
    <t>HOLLY ANUGERAH PATRICIA SILAEN</t>
  </si>
  <si>
    <t>DESAK NYOMAN INTAN APRILIA LESTARI</t>
  </si>
  <si>
    <t>GIOVANNI INEZ ERIKA MARGARETHA</t>
  </si>
  <si>
    <t>WILY SUBAGDJA (WIL)</t>
  </si>
  <si>
    <t>RARA DWI CITRA LUMBAN TOBING</t>
  </si>
  <si>
    <t>SILVIE MONICA RAHMAN</t>
  </si>
  <si>
    <t>MEYLITIA MARSIA LONGDONG</t>
  </si>
  <si>
    <t>ERVINA DAMAYANTI</t>
  </si>
  <si>
    <t>HAMZAHAS</t>
  </si>
  <si>
    <t>RAIS WINARKO (WIN)</t>
  </si>
  <si>
    <t>MEISKE VIRGINIA WAKANNO</t>
  </si>
  <si>
    <t>ADZURA SRI SURYANTARI</t>
  </si>
  <si>
    <t>MARIA ANISSA AURELIA</t>
  </si>
  <si>
    <t>YOEL ABIEZER PETRA</t>
  </si>
  <si>
    <t>KHOERUNNISA</t>
  </si>
  <si>
    <t>SAFFA LADYA ISLAMA</t>
  </si>
  <si>
    <t>YUANIRA ASMANAH PUTRI (YAP)</t>
  </si>
  <si>
    <t>ENY MARKGRASILITA SITUMORANG</t>
  </si>
  <si>
    <t>RIFAL ZULFANI</t>
  </si>
  <si>
    <t>FELICIA SETIAWAN</t>
  </si>
  <si>
    <t>IRA NURASNI DWI HARTONO</t>
  </si>
  <si>
    <t>DIZA ANDIANA</t>
  </si>
  <si>
    <t>TIAS FITRI YANTI (YAS)</t>
  </si>
  <si>
    <t>HILDEGARD LIDWINA BRILLIANT MAHESWARI</t>
  </si>
  <si>
    <t>VIRDA MELIANTIKA</t>
  </si>
  <si>
    <t>ADELIN DWICAHYANI</t>
  </si>
  <si>
    <t>NUR KHOLIFAH FITRIA</t>
  </si>
  <si>
    <t>FIONALITA</t>
  </si>
  <si>
    <t>YULI PRASETYO (YLO)</t>
  </si>
  <si>
    <t>THERESIA LASTRI KARTINI SIMAMORA</t>
  </si>
  <si>
    <t>ECHY NICKY YOVITA SIDAURUK</t>
  </si>
  <si>
    <t>MUHAMMAD REZZA OCTAVIAN</t>
  </si>
  <si>
    <t>ANJAWI SUKMA FIARI</t>
  </si>
  <si>
    <t>PUTRI WULANDARI</t>
  </si>
  <si>
    <t>KRISTINA RISMAULI BR DABUKE</t>
  </si>
  <si>
    <t>YOSANDRA TAN WIJAYA (YOS)</t>
  </si>
  <si>
    <t>DALYA SHIFA ZULFIA</t>
  </si>
  <si>
    <t>WANGI SEKAR MAYANG</t>
  </si>
  <si>
    <t>ANDAL GACHO FIARI</t>
  </si>
  <si>
    <t>SANTA TOGI MARITONA</t>
  </si>
  <si>
    <t>DIDIK DWI SYAH PUTRA</t>
  </si>
  <si>
    <t>VERONICA INDAH PUSPA HATI</t>
  </si>
  <si>
    <t>MOH FAUZAN HILMY (ZAN)</t>
  </si>
  <si>
    <t>VANIA BEATRICE SONITA</t>
  </si>
  <si>
    <t>RAIHAN FARHAN RAMADHAN</t>
  </si>
  <si>
    <t>WANDA QORI AGUSTINI</t>
  </si>
  <si>
    <t>ELLYSABETH AMARA JUANITA</t>
  </si>
  <si>
    <t>GHINA TSURAYA NABILA</t>
  </si>
  <si>
    <t>MUHAMAD NIZARUL AKMAL</t>
  </si>
  <si>
    <t>ELDO (ELD)</t>
  </si>
  <si>
    <t>GRACELA PUTRI TARAPANDJANG</t>
  </si>
  <si>
    <t>KARTIKA SIMBOLON</t>
  </si>
  <si>
    <t>THERESA SEPTIANTRI S.N.S</t>
  </si>
  <si>
    <t>ILYASA J FARHANANDA</t>
  </si>
  <si>
    <t>RANGGA KURNIA REYNALDI</t>
  </si>
  <si>
    <t>Felicia (FEL)</t>
  </si>
  <si>
    <t>MOCHAMMAD RIDWAN</t>
  </si>
  <si>
    <t>MUHAMMAD MURSAL HASAN BASRI</t>
  </si>
  <si>
    <t>AGUNG BASKORO</t>
  </si>
  <si>
    <t>MARIA CRESENSIA SHANIA</t>
  </si>
  <si>
    <t>KEMAS AFFAN RAFIZAL</t>
  </si>
  <si>
    <t>BELLA SEPTANIA</t>
  </si>
  <si>
    <t>DAVID ADIDHARMA (DAA)</t>
  </si>
  <si>
    <t>DIAN SULISTIAWATI</t>
  </si>
  <si>
    <t>ASTIYANI PARDEDE</t>
  </si>
  <si>
    <t>HANSEL NOVIAN</t>
  </si>
  <si>
    <t>HANIFA LUTFIAH SANGAJI</t>
  </si>
  <si>
    <t>EDI KURNIAWAN (EDI)</t>
  </si>
  <si>
    <t>NADIA SEPTRIA SYAKIRA</t>
  </si>
  <si>
    <t>NURLAILA RUKHSALWA</t>
  </si>
  <si>
    <t>SHAFIRA RIZKI RAMADHANI</t>
  </si>
  <si>
    <t>WINDI LESTARI</t>
  </si>
  <si>
    <t>JENIFER OKTAVIANI</t>
  </si>
  <si>
    <t>DANTY DEWANTARI NURRAHMATTULLAH</t>
  </si>
  <si>
    <t>AHMAD FAUZI (JIO)</t>
  </si>
  <si>
    <t>SWASTI PUSPITASARI</t>
  </si>
  <si>
    <t>FERNANDA SULISTYOWATI</t>
  </si>
  <si>
    <t>SRIMANATI SINAGA</t>
  </si>
  <si>
    <t>SITI HARTINA M. MANOPPO</t>
  </si>
  <si>
    <t>REZZA SAPRIL MULYADI</t>
  </si>
  <si>
    <t>TEUKU ANANDA ADITYA FERNANDO (NDO)</t>
  </si>
  <si>
    <t>KIKI LESTARI</t>
  </si>
  <si>
    <t>SURYA AYUNINGGA</t>
  </si>
  <si>
    <t>AUDY RIZKY DESTRIANTO</t>
  </si>
  <si>
    <t>DELVA BAGUS PRATAMA (VAB)</t>
  </si>
  <si>
    <t>MUHAMMAD ARIK SYAUKI HIDAYATULLAH</t>
  </si>
  <si>
    <t>HERAWATI</t>
  </si>
  <si>
    <t>INDAH MASRI AZZAHRA</t>
  </si>
  <si>
    <t>NICHOLIN ANGGEL WAIRISSAL</t>
  </si>
  <si>
    <t>ALIA CANTIKA</t>
  </si>
  <si>
    <t>RADEN MUHAMAD ADRIAN PUTRA WARDHANA</t>
  </si>
  <si>
    <t>NOVAL HIDAYATULLAH (VAL)</t>
  </si>
  <si>
    <t>LASRIA MONA RAJAGUKGUK</t>
  </si>
  <si>
    <t>JESSICA ANGELINE</t>
  </si>
  <si>
    <t>HELEN HARTANTI</t>
  </si>
  <si>
    <t>FRIANY NOVALIA ROMPAS</t>
  </si>
  <si>
    <t>AUDRI DEA LINCE BARUS</t>
  </si>
  <si>
    <t>LUSIANA BUTAR BUTAR</t>
  </si>
  <si>
    <t>FRATHIO GERY GERALDI</t>
  </si>
  <si>
    <t>SHERINA LAURENCIA SISWOKO  (SHE)</t>
  </si>
  <si>
    <t>M. AGUNG PUTRA RAMADHAN</t>
  </si>
  <si>
    <t>WINDA JOLANDA KOEHUAN</t>
  </si>
  <si>
    <t>CARRMELYSA ALIFAH DEWI</t>
  </si>
  <si>
    <t>M TEGUH PAHLAWAN NUSANTARA</t>
  </si>
  <si>
    <t>DWI BEATRICE JOY SINAGA</t>
  </si>
  <si>
    <t>SASQIA FAUZIAH RAIHANA</t>
  </si>
  <si>
    <t>ALDI RENATA WIBOWO (ARW)</t>
  </si>
  <si>
    <t>MEIDITO ADI LUHUNG</t>
  </si>
  <si>
    <t>ANJANI</t>
  </si>
  <si>
    <t>HENOKH PUTRI SUGIYARWI</t>
  </si>
  <si>
    <t>LAURENCIA RUTH ZEFANYA</t>
  </si>
  <si>
    <t>PUTRI NIRMALA S PAYAPO</t>
  </si>
  <si>
    <t>ELIZABETH SEKAR ARDELIANA</t>
  </si>
  <si>
    <t>DONI ANDRIADI (DON)</t>
  </si>
  <si>
    <t>JOCELYN</t>
  </si>
  <si>
    <t>NADIA DWI RAMADANI</t>
  </si>
  <si>
    <t>AMELIA SALSABILA HERDIANA</t>
  </si>
  <si>
    <t>ARDELIA ARIZA MARSHANDA S</t>
  </si>
  <si>
    <t>RINZANA AFRAH ROHAN</t>
  </si>
  <si>
    <t>FAHRIZKI DWO RAMADHAN (DWO)</t>
  </si>
  <si>
    <t>TIARA GRACIA AURELLIA SIAGIAN</t>
  </si>
  <si>
    <t>LEDIS INRIANI MANURUNG</t>
  </si>
  <si>
    <t>YENTI AGUSTINA SIANTURI</t>
  </si>
  <si>
    <t>AKBAR BIMA SUGONDO</t>
  </si>
  <si>
    <t>M REYHAN RAHESYA</t>
  </si>
  <si>
    <t>FEBRI HARDIANSAH (FBR)</t>
  </si>
  <si>
    <t>THERESIA APRIANTI ANUSHKA KOTEN</t>
  </si>
  <si>
    <t>FARAH FEBRINA HAPSARI</t>
  </si>
  <si>
    <t>MONICA SALSABILLA</t>
  </si>
  <si>
    <t>FAHMI FADHILAH</t>
  </si>
  <si>
    <t>SHEVIRA DEWI MASHELA</t>
  </si>
  <si>
    <t>RIZKY FAJAR MULYA (JAR)</t>
  </si>
  <si>
    <t>ALFIA NURAINA PUTRI HALINDA</t>
  </si>
  <si>
    <t>ANITA F SITOHANG</t>
  </si>
  <si>
    <t>TIARA AJENG PRAMESTI WIBOWO</t>
  </si>
  <si>
    <t>DEA NANDA SENJA RACHMA DINI</t>
  </si>
  <si>
    <t>TANESIA</t>
  </si>
  <si>
    <t>NOVI RAKHMAWATI (OPI)</t>
  </si>
  <si>
    <t>SYIFA NAJLA LUTHFIYAH</t>
  </si>
  <si>
    <t>SENITA FRIDA HUTABARAT</t>
  </si>
  <si>
    <t>JOSHUA MOANG LEO ALBERTO D</t>
  </si>
  <si>
    <t>ADINDA NURUL PRATIWI</t>
  </si>
  <si>
    <t>MIFTAH MAISARAH NASYWA</t>
  </si>
  <si>
    <t>RIZKY DIAN MAHARDIKA (RDM)</t>
  </si>
  <si>
    <t>DIKY ADHARI PRIBADI</t>
  </si>
  <si>
    <t>MUHAMAD RIZAL</t>
  </si>
  <si>
    <t>SYAHED APRILLIANI</t>
  </si>
  <si>
    <t>HANNA KIREYNA</t>
  </si>
  <si>
    <t>MARSYA MUHAMAD DAFFA</t>
  </si>
  <si>
    <t>ANITA RENATA</t>
  </si>
  <si>
    <t>RIMSA LUSIANA MANALU (RIM)</t>
  </si>
  <si>
    <t>VERONIKA DIAH SIMANULANG</t>
  </si>
  <si>
    <t>TASYA ALMASAH</t>
  </si>
  <si>
    <t>IWA NOTRA SILVANI BR SEMBIRING</t>
  </si>
  <si>
    <t>NIA AGATHA TAMPUBOLON</t>
  </si>
  <si>
    <t>ZAKA HK OKI</t>
  </si>
  <si>
    <t>TABITA ELMA PRASETYA (TAM)</t>
  </si>
  <si>
    <t>MUHAMMAD AL-GHIFFARI AKBAR</t>
  </si>
  <si>
    <t>SHELOMITA</t>
  </si>
  <si>
    <t>RAHAYU PUTRI MELANI</t>
  </si>
  <si>
    <t>DIANATA SIHOTANG</t>
  </si>
  <si>
    <t>DIAN UTAMI SIHOMBING</t>
  </si>
  <si>
    <t>OLIVER NATANAEL YO (OLI)</t>
  </si>
  <si>
    <t>JORDAN TAN</t>
  </si>
  <si>
    <t>NATALIA CAROLINA</t>
  </si>
  <si>
    <t>TRISKA LEVIA SIALLAGAN</t>
  </si>
  <si>
    <t>TEBI HARIYADI PURNA</t>
  </si>
  <si>
    <t>SARAH W. SIMANUNGKALIT</t>
  </si>
  <si>
    <t>LUTFI ROSYIDAH</t>
  </si>
  <si>
    <t>NIP</t>
  </si>
  <si>
    <t>NAMA</t>
  </si>
  <si>
    <t>SPV</t>
  </si>
  <si>
    <t>AVG PEMREK</t>
  </si>
  <si>
    <t>RON</t>
  </si>
  <si>
    <t>SMART 1</t>
  </si>
  <si>
    <t>DEV</t>
  </si>
  <si>
    <t>SMART 2</t>
  </si>
  <si>
    <t>ROB</t>
  </si>
  <si>
    <t>SMART 3</t>
  </si>
  <si>
    <t>HAI</t>
  </si>
  <si>
    <t>SMART 4</t>
  </si>
  <si>
    <t>ZAN</t>
  </si>
  <si>
    <t>SMART 5</t>
  </si>
  <si>
    <t>FLI</t>
  </si>
  <si>
    <t>AFI</t>
  </si>
  <si>
    <t>MIT</t>
  </si>
  <si>
    <t>NUS</t>
  </si>
  <si>
    <t>FIK</t>
  </si>
  <si>
    <t>IPU</t>
  </si>
  <si>
    <t>FBR</t>
  </si>
  <si>
    <t>JEF</t>
  </si>
  <si>
    <t>DES</t>
  </si>
  <si>
    <t>ROC</t>
  </si>
  <si>
    <t>MGR</t>
  </si>
  <si>
    <t>DRY</t>
  </si>
  <si>
    <t>AKS</t>
  </si>
  <si>
    <t>CTA</t>
  </si>
  <si>
    <t>WIN</t>
  </si>
  <si>
    <t>SYN</t>
  </si>
  <si>
    <t>NAM</t>
  </si>
  <si>
    <t>SMY</t>
  </si>
  <si>
    <t>UTI</t>
  </si>
  <si>
    <t>BIL</t>
  </si>
  <si>
    <t>DIK</t>
  </si>
  <si>
    <t>ULF</t>
  </si>
  <si>
    <t>MZR</t>
  </si>
  <si>
    <t>ILY</t>
  </si>
  <si>
    <t>LHR</t>
  </si>
  <si>
    <t>VIT</t>
  </si>
  <si>
    <t>ELD</t>
  </si>
  <si>
    <t>RAG</t>
  </si>
  <si>
    <t>APR</t>
  </si>
  <si>
    <t>ULR</t>
  </si>
  <si>
    <t>BRY</t>
  </si>
  <si>
    <t>PBS</t>
  </si>
  <si>
    <t>MEG</t>
  </si>
  <si>
    <t>RIN</t>
  </si>
  <si>
    <t>SAM</t>
  </si>
  <si>
    <t>AML</t>
  </si>
  <si>
    <t>ARW</t>
  </si>
  <si>
    <t>YAP</t>
  </si>
  <si>
    <t>NOE</t>
  </si>
  <si>
    <t>RAY</t>
  </si>
  <si>
    <t>RSK</t>
  </si>
  <si>
    <t>BUD</t>
  </si>
  <si>
    <t>ADS</t>
  </si>
  <si>
    <t>DWI</t>
  </si>
  <si>
    <t>CIS</t>
  </si>
  <si>
    <t>YAS</t>
  </si>
  <si>
    <t>VAB</t>
  </si>
  <si>
    <t>OPI</t>
  </si>
  <si>
    <t>YLO</t>
  </si>
  <si>
    <t>OLI</t>
  </si>
  <si>
    <t>NUG</t>
  </si>
  <si>
    <t>JEZ</t>
  </si>
  <si>
    <t>DWO</t>
  </si>
  <si>
    <t>AWI</t>
  </si>
  <si>
    <t>JAR</t>
  </si>
  <si>
    <t>MLA</t>
  </si>
  <si>
    <t>MLV</t>
  </si>
  <si>
    <t>TAM</t>
  </si>
  <si>
    <t>YOS</t>
  </si>
  <si>
    <t>LAN</t>
  </si>
  <si>
    <t>NIA</t>
  </si>
  <si>
    <t>VAL</t>
  </si>
  <si>
    <t>INA</t>
  </si>
  <si>
    <t>SAR</t>
  </si>
  <si>
    <t>GSA</t>
  </si>
  <si>
    <t>WIL</t>
  </si>
  <si>
    <t>MLY</t>
  </si>
  <si>
    <t>EDI</t>
  </si>
  <si>
    <t>IDR</t>
  </si>
  <si>
    <t>SHE</t>
  </si>
  <si>
    <t>RDM</t>
  </si>
  <si>
    <t>SHA</t>
  </si>
  <si>
    <t>DON</t>
  </si>
  <si>
    <t>DMS</t>
  </si>
  <si>
    <t>VIK</t>
  </si>
  <si>
    <t>RIM</t>
  </si>
  <si>
    <t>MARCHEL PRATAMA HULU</t>
  </si>
  <si>
    <t>NDO</t>
  </si>
  <si>
    <t>CLO</t>
  </si>
  <si>
    <t>JIO</t>
  </si>
  <si>
    <t>DAA</t>
  </si>
  <si>
    <t>TIDAK ONLINE DI PEMOL 1 BULAN FULL (ONLINE DI CSO SOLUSI)</t>
  </si>
  <si>
    <t>CYS</t>
  </si>
  <si>
    <t>FEL</t>
  </si>
  <si>
    <t>JMU</t>
  </si>
  <si>
    <t>DPR</t>
  </si>
  <si>
    <t>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</si>
</sst>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8"/>
      <color rgb="FF000000"/>
      <name val="Calibri"/>
      <family val="2"/>
      <charset val="1"/>
      <scheme val="minor"/>
    </font>
    <font>
      <sz val="10"/>
      <name val="Arial Narrow"/>
      <family val="2"/>
      <charset val="1"/>
    </font>
    <font>
      <b/>
      <sz val="12"/>
      <name val="Arial Narrow"/>
      <family val="2"/>
      <charset val="1"/>
    </font>
    <font>
      <b/>
      <sz val="10"/>
      <name val="Arial Narrow"/>
      <family val="2"/>
      <charset val="1"/>
    </font>
    <font>
      <b/>
      <sz val="10"/>
      <color rgb="FFFFC000"/>
      <name val="Arial Narrow"/>
      <family val="2"/>
      <charset val="1"/>
    </font>
    <font>
      <b/>
      <sz val="11"/>
      <color rgb="FFFFC000"/>
      <name val="Arial Narrow"/>
      <family val="2"/>
      <charset val="1"/>
    </font>
    <font>
      <b/>
      <sz val="11"/>
      <color rgb="FF000000"/>
      <name val="Calibri"/>
      <family val="2"/>
      <charset val="1"/>
      <scheme val="minor"/>
    </font>
    <font>
      <sz val="11"/>
      <color rgb="FFFFC000"/>
      <name val="Calibri"/>
      <family val="2"/>
      <charset val="1"/>
      <scheme val="minor"/>
    </font>
    <font>
      <b/>
      <sz val="14"/>
      <color rgb="FF000000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b/>
      <sz val="14"/>
      <name val="Calibri"/>
      <family val="2"/>
      <charset val="1"/>
      <scheme val="minor"/>
    </font>
    <font>
      <sz val="12"/>
      <color rgb="FF000000"/>
      <name val="Arial"/>
      <family val="2"/>
      <charset val="1"/>
    </font>
    <font>
      <b/>
      <sz val="13"/>
      <name val="Calibri"/>
      <family val="2"/>
      <charset val="1"/>
      <scheme val="minor"/>
    </font>
    <font>
      <b/>
      <sz val="14"/>
      <color rgb="FF9C0006"/>
      <name val="Calibri"/>
      <family val="2"/>
      <charset val="1"/>
      <scheme val="minor"/>
    </font>
    <font>
      <b/>
      <sz val="12"/>
      <color rgb="FF00000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23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92D050"/>
        <bgColor rgb="FFA9D18E"/>
      </patternFill>
    </fill>
    <fill>
      <patternFill patternType="solid">
        <fgColor rgb="FF833C0C"/>
        <bgColor rgb="FF993366"/>
      </patternFill>
    </fill>
    <fill>
      <patternFill patternType="solid">
        <fgColor rgb="FFD6DCE4"/>
        <bgColor rgb="FFBDD7EE"/>
      </patternFill>
    </fill>
    <fill>
      <patternFill patternType="solid">
        <fgColor rgb="FFBDD7EE"/>
        <bgColor rgb="FFD6DCE5"/>
      </patternFill>
    </fill>
    <fill>
      <patternFill patternType="solid">
        <fgColor rgb="FFF8CBAD"/>
        <bgColor rgb="FFFFC7CE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A9D08E"/>
        <bgColor rgb="FF92D050"/>
      </patternFill>
    </fill>
    <fill>
      <patternFill patternType="solid">
        <fgColor rgb="FFFFC7CE"/>
        <bgColor rgb="FF92D050"/>
      </patternFill>
    </fill>
    <fill>
      <patternFill patternType="solid">
        <fgColor rgb="FFFFC7CE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C81"/>
        <bgColor rgb="FF000000"/>
      </patternFill>
    </fill>
    <fill>
      <patternFill patternType="solid">
        <fgColor rgb="FFCDDD82"/>
        <bgColor rgb="FF000000"/>
      </patternFill>
    </fill>
    <fill>
      <patternFill patternType="solid">
        <fgColor rgb="FFDEE283"/>
        <bgColor rgb="FF000000"/>
      </patternFill>
    </fill>
    <fill>
      <patternFill patternType="solid">
        <fgColor rgb="FFE3E383"/>
        <bgColor rgb="FF000000"/>
      </patternFill>
    </fill>
    <fill>
      <patternFill patternType="solid">
        <fgColor rgb="FFE5E483"/>
        <bgColor rgb="FF000000"/>
      </patternFill>
    </fill>
    <fill>
      <patternFill patternType="solid">
        <fgColor rgb="FFE7E483"/>
        <bgColor rgb="FF000000"/>
      </patternFill>
    </fill>
    <fill>
      <patternFill patternType="solid">
        <fgColor rgb="FFE8E583"/>
        <bgColor rgb="FF000000"/>
      </patternFill>
    </fill>
    <fill>
      <patternFill patternType="solid">
        <fgColor rgb="FFEFE784"/>
        <bgColor rgb="FF000000"/>
      </patternFill>
    </fill>
    <fill>
      <patternFill patternType="solid">
        <fgColor rgb="FFF6E984"/>
        <bgColor rgb="FF000000"/>
      </patternFill>
    </fill>
    <fill>
      <patternFill patternType="solid">
        <fgColor rgb="FFFDEB84"/>
        <bgColor rgb="FF000000"/>
      </patternFill>
    </fill>
    <fill>
      <patternFill patternType="solid">
        <fgColor rgb="FFFEEB84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EE783"/>
        <bgColor rgb="FF000000"/>
      </patternFill>
    </fill>
    <fill>
      <patternFill patternType="solid">
        <fgColor rgb="FFFEE482"/>
        <bgColor rgb="FF000000"/>
      </patternFill>
    </fill>
    <fill>
      <patternFill patternType="solid">
        <fgColor rgb="FFFEDF81"/>
        <bgColor rgb="FF000000"/>
      </patternFill>
    </fill>
    <fill>
      <patternFill patternType="solid">
        <fgColor rgb="FF64BF7C"/>
        <bgColor rgb="FF000000"/>
      </patternFill>
    </fill>
    <fill>
      <patternFill patternType="solid">
        <fgColor rgb="FFF9EA84"/>
        <bgColor rgb="FF000000"/>
      </patternFill>
    </fill>
    <fill>
      <patternFill patternType="solid">
        <fgColor rgb="FFE1E383"/>
        <bgColor rgb="FF000000"/>
      </patternFill>
    </fill>
    <fill>
      <patternFill patternType="solid">
        <fgColor rgb="FF65BF7C"/>
        <bgColor rgb="FF000000"/>
      </patternFill>
    </fill>
    <fill>
      <patternFill patternType="solid">
        <fgColor rgb="FFFCEA84"/>
        <bgColor rgb="FF000000"/>
      </patternFill>
    </fill>
    <fill>
      <patternFill patternType="solid">
        <fgColor rgb="FFFAEA84"/>
        <bgColor rgb="FF000000"/>
      </patternFill>
    </fill>
    <fill>
      <patternFill patternType="solid">
        <fgColor rgb="FFE2E383"/>
        <bgColor rgb="FF000000"/>
      </patternFill>
    </fill>
    <fill>
      <patternFill patternType="solid">
        <fgColor rgb="FF67C07C"/>
        <bgColor rgb="FF000000"/>
      </patternFill>
    </fill>
    <fill>
      <patternFill patternType="solid">
        <fgColor rgb="FFCADC81"/>
        <bgColor rgb="FF000000"/>
      </patternFill>
    </fill>
    <fill>
      <patternFill patternType="solid">
        <fgColor rgb="FF68C07C"/>
        <bgColor rgb="FF000000"/>
      </patternFill>
    </fill>
    <fill>
      <patternFill patternType="solid">
        <fgColor rgb="FFECE683"/>
        <bgColor rgb="FF000000"/>
      </patternFill>
    </fill>
    <fill>
      <patternFill patternType="solid">
        <fgColor rgb="FFFCEB84"/>
        <bgColor rgb="FF000000"/>
      </patternFill>
    </fill>
    <fill>
      <patternFill patternType="solid">
        <fgColor rgb="FF69C07C"/>
        <bgColor rgb="FF000000"/>
      </patternFill>
    </fill>
    <fill>
      <patternFill patternType="solid">
        <fgColor rgb="FF6AC07C"/>
        <bgColor rgb="FF000000"/>
      </patternFill>
    </fill>
    <fill>
      <patternFill patternType="solid">
        <fgColor rgb="FFE6E483"/>
        <bgColor rgb="FF000000"/>
      </patternFill>
    </fill>
    <fill>
      <patternFill patternType="solid">
        <fgColor rgb="FF6CC17C"/>
        <bgColor rgb="FF000000"/>
      </patternFill>
    </fill>
    <fill>
      <patternFill patternType="solid">
        <fgColor rgb="FF72C37C"/>
        <bgColor rgb="FF000000"/>
      </patternFill>
    </fill>
    <fill>
      <patternFill patternType="solid">
        <fgColor rgb="FFFED880"/>
        <bgColor rgb="FF000000"/>
      </patternFill>
    </fill>
    <fill>
      <patternFill patternType="solid">
        <fgColor rgb="FF76C47D"/>
        <bgColor rgb="FF000000"/>
      </patternFill>
    </fill>
    <fill>
      <patternFill patternType="solid">
        <fgColor rgb="FFFDD680"/>
        <bgColor rgb="FF000000"/>
      </patternFill>
    </fill>
    <fill>
      <patternFill patternType="solid">
        <fgColor rgb="FF81C77D"/>
        <bgColor rgb="FF000000"/>
      </patternFill>
    </fill>
    <fill>
      <patternFill patternType="solid">
        <fgColor rgb="FFFDD47F"/>
        <bgColor rgb="FF000000"/>
      </patternFill>
    </fill>
    <fill>
      <patternFill patternType="solid">
        <fgColor rgb="FF84C87D"/>
        <bgColor rgb="FF000000"/>
      </patternFill>
    </fill>
    <fill>
      <patternFill patternType="solid">
        <fgColor rgb="FFFEE883"/>
        <bgColor rgb="FF000000"/>
      </patternFill>
    </fill>
    <fill>
      <patternFill patternType="solid">
        <fgColor rgb="FF90CB7E"/>
        <bgColor rgb="FF000000"/>
      </patternFill>
    </fill>
    <fill>
      <patternFill patternType="solid">
        <fgColor rgb="FFA0D07F"/>
        <bgColor rgb="FF000000"/>
      </patternFill>
    </fill>
    <fill>
      <patternFill patternType="solid">
        <fgColor rgb="FFBBD881"/>
        <bgColor rgb="FF000000"/>
      </patternFill>
    </fill>
    <fill>
      <patternFill patternType="solid">
        <fgColor rgb="FFD1DE82"/>
        <bgColor rgb="FF000000"/>
      </patternFill>
    </fill>
    <fill>
      <patternFill patternType="solid">
        <fgColor rgb="FFD3DF82"/>
        <bgColor rgb="FF000000"/>
      </patternFill>
    </fill>
    <fill>
      <patternFill patternType="solid">
        <fgColor rgb="FFD4DF82"/>
        <bgColor rgb="FF000000"/>
      </patternFill>
    </fill>
    <fill>
      <patternFill patternType="solid">
        <fgColor rgb="FFDFE283"/>
        <bgColor rgb="FF000000"/>
      </patternFill>
    </fill>
    <fill>
      <patternFill patternType="solid">
        <fgColor rgb="FFE9E583"/>
        <bgColor rgb="FF000000"/>
      </patternFill>
    </fill>
    <fill>
      <patternFill patternType="solid">
        <fgColor rgb="FFEEE784"/>
        <bgColor rgb="FF000000"/>
      </patternFill>
    </fill>
    <fill>
      <patternFill patternType="solid">
        <fgColor rgb="FFF0E784"/>
        <bgColor rgb="FF000000"/>
      </patternFill>
    </fill>
    <fill>
      <patternFill patternType="solid">
        <fgColor rgb="FFF2E784"/>
        <bgColor rgb="FF000000"/>
      </patternFill>
    </fill>
    <fill>
      <patternFill patternType="solid">
        <fgColor rgb="FFF3E884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FEE182"/>
        <bgColor rgb="FF000000"/>
      </patternFill>
    </fill>
    <fill>
      <patternFill patternType="solid">
        <fgColor rgb="FFFDD27F"/>
        <bgColor rgb="FF000000"/>
      </patternFill>
    </fill>
    <fill>
      <patternFill patternType="solid">
        <fgColor rgb="FFADD480"/>
        <bgColor rgb="FF000000"/>
      </patternFill>
    </fill>
    <fill>
      <patternFill patternType="solid">
        <fgColor rgb="FF91CB7E"/>
        <bgColor rgb="FF000000"/>
      </patternFill>
    </fill>
    <fill>
      <patternFill patternType="solid">
        <fgColor rgb="FFEAE583"/>
        <bgColor rgb="FF000000"/>
      </patternFill>
    </fill>
    <fill>
      <patternFill patternType="solid">
        <fgColor rgb="FFF2E884"/>
        <bgColor rgb="FF000000"/>
      </patternFill>
    </fill>
    <fill>
      <patternFill patternType="solid">
        <fgColor rgb="FF91CC7E"/>
        <bgColor rgb="FF000000"/>
      </patternFill>
    </fill>
    <fill>
      <patternFill patternType="solid">
        <fgColor rgb="FFFBEA84"/>
        <bgColor rgb="FF000000"/>
      </patternFill>
    </fill>
    <fill>
      <patternFill patternType="solid">
        <fgColor rgb="FFA3D17F"/>
        <bgColor rgb="FF000000"/>
      </patternFill>
    </fill>
    <fill>
      <patternFill patternType="solid">
        <fgColor rgb="FFFEE983"/>
        <bgColor rgb="FF000000"/>
      </patternFill>
    </fill>
    <fill>
      <patternFill patternType="solid">
        <fgColor rgb="FFFEE683"/>
        <bgColor rgb="FF000000"/>
      </patternFill>
    </fill>
    <fill>
      <patternFill patternType="solid">
        <fgColor rgb="FFEDE683"/>
        <bgColor rgb="FF000000"/>
      </patternFill>
    </fill>
    <fill>
      <patternFill patternType="solid">
        <fgColor rgb="FFF4E884"/>
        <bgColor rgb="FF000000"/>
      </patternFill>
    </fill>
    <fill>
      <patternFill patternType="solid">
        <fgColor rgb="FF92CC7E"/>
        <bgColor rgb="FF000000"/>
      </patternFill>
    </fill>
    <fill>
      <patternFill patternType="solid">
        <fgColor rgb="FF9FD07F"/>
        <bgColor rgb="FF000000"/>
      </patternFill>
    </fill>
    <fill>
      <patternFill patternType="solid">
        <fgColor rgb="FFBDD881"/>
        <bgColor rgb="FF000000"/>
      </patternFill>
    </fill>
    <fill>
      <patternFill patternType="solid">
        <fgColor rgb="FFD2DE82"/>
        <bgColor rgb="FF000000"/>
      </patternFill>
    </fill>
    <fill>
      <patternFill patternType="solid">
        <fgColor rgb="FFF7E984"/>
        <bgColor rgb="FF000000"/>
      </patternFill>
    </fill>
    <fill>
      <patternFill patternType="solid">
        <fgColor rgb="FF93CC7E"/>
        <bgColor rgb="FF000000"/>
      </patternFill>
    </fill>
    <fill>
      <patternFill patternType="solid">
        <fgColor rgb="FFFEE582"/>
        <bgColor rgb="FF000000"/>
      </patternFill>
    </fill>
    <fill>
      <patternFill patternType="solid">
        <fgColor rgb="FFF1E784"/>
        <bgColor rgb="FF000000"/>
      </patternFill>
    </fill>
    <fill>
      <patternFill patternType="solid">
        <fgColor rgb="FF94CC7E"/>
        <bgColor rgb="FF000000"/>
      </patternFill>
    </fill>
    <fill>
      <patternFill patternType="solid">
        <fgColor rgb="FFC7DB81"/>
        <bgColor rgb="FF000000"/>
      </patternFill>
    </fill>
    <fill>
      <patternFill patternType="solid">
        <fgColor rgb="FF95CD7E"/>
        <bgColor rgb="FF000000"/>
      </patternFill>
    </fill>
    <fill>
      <patternFill patternType="solid">
        <fgColor rgb="FFFEE583"/>
        <bgColor rgb="FF000000"/>
      </patternFill>
    </fill>
    <fill>
      <patternFill patternType="solid">
        <fgColor rgb="FFDDE283"/>
        <bgColor rgb="FF000000"/>
      </patternFill>
    </fill>
    <fill>
      <patternFill patternType="solid">
        <fgColor rgb="FFFEE382"/>
        <bgColor rgb="FF000000"/>
      </patternFill>
    </fill>
    <fill>
      <patternFill patternType="solid">
        <fgColor rgb="FF96CD7E"/>
        <bgColor rgb="FF000000"/>
      </patternFill>
    </fill>
    <fill>
      <patternFill patternType="solid">
        <fgColor rgb="FF97CD7E"/>
        <bgColor rgb="FF000000"/>
      </patternFill>
    </fill>
    <fill>
      <patternFill patternType="solid">
        <fgColor rgb="FF98CE7F"/>
        <bgColor rgb="FF000000"/>
      </patternFill>
    </fill>
    <fill>
      <patternFill patternType="solid">
        <fgColor rgb="FFFEE081"/>
        <bgColor rgb="FF000000"/>
      </patternFill>
    </fill>
    <fill>
      <patternFill patternType="solid">
        <fgColor rgb="FF99CE7F"/>
        <bgColor rgb="FF000000"/>
      </patternFill>
    </fill>
    <fill>
      <patternFill patternType="solid">
        <fgColor rgb="FFF5E984"/>
        <bgColor rgb="FF000000"/>
      </patternFill>
    </fill>
    <fill>
      <patternFill patternType="solid">
        <fgColor rgb="FFD5DF82"/>
        <bgColor rgb="FF000000"/>
      </patternFill>
    </fill>
    <fill>
      <patternFill patternType="solid">
        <fgColor rgb="FF9BCE7F"/>
        <bgColor rgb="FF000000"/>
      </patternFill>
    </fill>
    <fill>
      <patternFill patternType="solid">
        <fgColor rgb="FFFEDA80"/>
        <bgColor rgb="FF000000"/>
      </patternFill>
    </fill>
    <fill>
      <patternFill patternType="solid">
        <fgColor rgb="FF9BCF7F"/>
        <bgColor rgb="FF000000"/>
      </patternFill>
    </fill>
    <fill>
      <patternFill patternType="solid">
        <fgColor rgb="FF9CCF7F"/>
        <bgColor rgb="FF000000"/>
      </patternFill>
    </fill>
    <fill>
      <patternFill patternType="solid">
        <fgColor rgb="FFFEDC81"/>
        <bgColor rgb="FF000000"/>
      </patternFill>
    </fill>
    <fill>
      <patternFill patternType="solid">
        <fgColor rgb="FF9DCF7F"/>
        <bgColor rgb="FF000000"/>
      </patternFill>
    </fill>
    <fill>
      <patternFill patternType="solid">
        <fgColor rgb="FFFEE282"/>
        <bgColor rgb="FF000000"/>
      </patternFill>
    </fill>
    <fill>
      <patternFill patternType="solid">
        <fgColor rgb="FFDBE182"/>
        <bgColor rgb="FF000000"/>
      </patternFill>
    </fill>
    <fill>
      <patternFill patternType="solid">
        <fgColor rgb="FFA1D07F"/>
        <bgColor rgb="FF000000"/>
      </patternFill>
    </fill>
    <fill>
      <patternFill patternType="solid">
        <fgColor rgb="FFFDD57F"/>
        <bgColor rgb="FF000000"/>
      </patternFill>
    </fill>
    <fill>
      <patternFill patternType="solid">
        <fgColor rgb="FFA2D07F"/>
        <bgColor rgb="FF000000"/>
      </patternFill>
    </fill>
    <fill>
      <patternFill patternType="solid">
        <fgColor rgb="FFA2D17F"/>
        <bgColor rgb="FF000000"/>
      </patternFill>
    </fill>
    <fill>
      <patternFill patternType="solid">
        <fgColor rgb="FFBFD981"/>
        <bgColor rgb="FF000000"/>
      </patternFill>
    </fill>
    <fill>
      <patternFill patternType="solid">
        <fgColor rgb="FFA4D17F"/>
        <bgColor rgb="FF000000"/>
      </patternFill>
    </fill>
    <fill>
      <patternFill patternType="solid">
        <fgColor rgb="FFA7D27F"/>
        <bgColor rgb="FF000000"/>
      </patternFill>
    </fill>
    <fill>
      <patternFill patternType="solid">
        <fgColor rgb="FFA8D27F"/>
        <bgColor rgb="FF000000"/>
      </patternFill>
    </fill>
    <fill>
      <patternFill patternType="solid">
        <fgColor rgb="FFFDD67F"/>
        <bgColor rgb="FF000000"/>
      </patternFill>
    </fill>
    <fill>
      <patternFill patternType="solid">
        <fgColor rgb="FFACD380"/>
        <bgColor rgb="FF000000"/>
      </patternFill>
    </fill>
    <fill>
      <patternFill patternType="solid">
        <fgColor rgb="FFACD480"/>
        <bgColor rgb="FF000000"/>
      </patternFill>
    </fill>
    <fill>
      <patternFill patternType="solid">
        <fgColor rgb="FFAFD480"/>
        <bgColor rgb="FF000000"/>
      </patternFill>
    </fill>
    <fill>
      <patternFill patternType="solid">
        <fgColor rgb="FFB0D580"/>
        <bgColor rgb="FF000000"/>
      </patternFill>
    </fill>
    <fill>
      <patternFill patternType="solid">
        <fgColor rgb="FFB1D580"/>
        <bgColor rgb="FF000000"/>
      </patternFill>
    </fill>
    <fill>
      <patternFill patternType="solid">
        <fgColor rgb="FFB5D680"/>
        <bgColor rgb="FF000000"/>
      </patternFill>
    </fill>
    <fill>
      <patternFill patternType="solid">
        <fgColor rgb="FFFDD17F"/>
        <bgColor rgb="FF000000"/>
      </patternFill>
    </fill>
    <fill>
      <patternFill patternType="solid">
        <fgColor rgb="FFFDCC7E"/>
        <bgColor rgb="FF000000"/>
      </patternFill>
    </fill>
    <fill>
      <patternFill patternType="solid">
        <fgColor rgb="FFB6D680"/>
        <bgColor rgb="FF000000"/>
      </patternFill>
    </fill>
    <fill>
      <patternFill patternType="solid">
        <fgColor rgb="FFB8D780"/>
        <bgColor rgb="FF000000"/>
      </patternFill>
    </fill>
    <fill>
      <patternFill patternType="solid">
        <fgColor rgb="FFFDCE7E"/>
        <bgColor rgb="FF000000"/>
      </patternFill>
    </fill>
    <fill>
      <patternFill patternType="solid">
        <fgColor rgb="FFF8E984"/>
        <bgColor rgb="FF000000"/>
      </patternFill>
    </fill>
    <fill>
      <patternFill patternType="solid">
        <fgColor rgb="FFBED981"/>
        <bgColor rgb="FF000000"/>
      </patternFill>
    </fill>
    <fill>
      <patternFill patternType="solid">
        <fgColor rgb="FFC2DA81"/>
        <bgColor rgb="FF000000"/>
      </patternFill>
    </fill>
    <fill>
      <patternFill patternType="solid">
        <fgColor rgb="FFC4DA81"/>
        <bgColor rgb="FF000000"/>
      </patternFill>
    </fill>
    <fill>
      <patternFill patternType="solid">
        <fgColor rgb="FFC5DB81"/>
        <bgColor rgb="FF000000"/>
      </patternFill>
    </fill>
    <fill>
      <patternFill patternType="solid">
        <fgColor rgb="FFD0DE82"/>
        <bgColor rgb="FF000000"/>
      </patternFill>
    </fill>
    <fill>
      <patternFill patternType="solid">
        <fgColor rgb="FFC8DB81"/>
        <bgColor rgb="FF000000"/>
      </patternFill>
    </fill>
    <fill>
      <patternFill patternType="solid">
        <fgColor rgb="FFFEDD81"/>
        <bgColor rgb="FF000000"/>
      </patternFill>
    </fill>
    <fill>
      <patternFill patternType="solid">
        <fgColor rgb="FFFDC87D"/>
        <bgColor rgb="FF000000"/>
      </patternFill>
    </fill>
    <fill>
      <patternFill patternType="solid">
        <fgColor rgb="FFC8DC81"/>
        <bgColor rgb="FF000000"/>
      </patternFill>
    </fill>
    <fill>
      <patternFill patternType="solid">
        <fgColor rgb="FFCBDC81"/>
        <bgColor rgb="FF000000"/>
      </patternFill>
    </fill>
    <fill>
      <patternFill patternType="solid">
        <fgColor rgb="FFCEDD82"/>
        <bgColor rgb="FF000000"/>
      </patternFill>
    </fill>
    <fill>
      <patternFill patternType="solid">
        <fgColor rgb="FFD8E082"/>
        <bgColor rgb="FF000000"/>
      </patternFill>
    </fill>
    <fill>
      <patternFill patternType="solid">
        <fgColor rgb="FFFDD37F"/>
        <bgColor rgb="FF000000"/>
      </patternFill>
    </fill>
    <fill>
      <patternFill patternType="solid">
        <fgColor rgb="FFFDCF7E"/>
        <bgColor rgb="FF000000"/>
      </patternFill>
    </fill>
    <fill>
      <patternFill patternType="solid">
        <fgColor rgb="FFEBE683"/>
        <bgColor rgb="FF000000"/>
      </patternFill>
    </fill>
    <fill>
      <patternFill patternType="solid">
        <fgColor rgb="FFE0E283"/>
        <bgColor rgb="FF000000"/>
      </patternFill>
    </fill>
    <fill>
      <patternFill patternType="solid">
        <fgColor rgb="FFEEE683"/>
        <bgColor rgb="FF000000"/>
      </patternFill>
    </fill>
    <fill>
      <patternFill patternType="solid">
        <fgColor rgb="FFFDCA7D"/>
        <bgColor rgb="FF000000"/>
      </patternFill>
    </fill>
    <fill>
      <patternFill patternType="solid">
        <fgColor rgb="FFFEDE81"/>
        <bgColor rgb="FF000000"/>
      </patternFill>
    </fill>
    <fill>
      <patternFill patternType="solid">
        <fgColor rgb="FFFCC57C"/>
        <bgColor rgb="FF000000"/>
      </patternFill>
    </fill>
    <fill>
      <patternFill patternType="solid">
        <fgColor rgb="FFF5E884"/>
        <bgColor rgb="FF000000"/>
      </patternFill>
    </fill>
    <fill>
      <patternFill patternType="solid">
        <fgColor rgb="FFFEDB81"/>
        <bgColor rgb="FF000000"/>
      </patternFill>
    </fill>
    <fill>
      <patternFill patternType="solid">
        <fgColor rgb="FFFEE082"/>
        <bgColor rgb="FF000000"/>
      </patternFill>
    </fill>
    <fill>
      <patternFill patternType="solid">
        <fgColor rgb="FFFED980"/>
        <bgColor rgb="FF000000"/>
      </patternFill>
    </fill>
    <fill>
      <patternFill patternType="solid">
        <fgColor rgb="FFF9E984"/>
        <bgColor rgb="FF000000"/>
      </patternFill>
    </fill>
    <fill>
      <patternFill patternType="solid">
        <fgColor rgb="FFDDE182"/>
        <bgColor rgb="FF000000"/>
      </patternFill>
    </fill>
    <fill>
      <patternFill patternType="solid">
        <fgColor rgb="FFCCDD82"/>
        <bgColor rgb="FF000000"/>
      </patternFill>
    </fill>
    <fill>
      <patternFill patternType="solid">
        <fgColor rgb="FFFDCD7E"/>
        <bgColor rgb="FF000000"/>
      </patternFill>
    </fill>
    <fill>
      <patternFill patternType="solid">
        <fgColor rgb="FFFDD07E"/>
        <bgColor rgb="FF000000"/>
      </patternFill>
    </fill>
    <fill>
      <patternFill patternType="solid">
        <fgColor rgb="FFFDD880"/>
        <bgColor rgb="FF000000"/>
      </patternFill>
    </fill>
    <fill>
      <patternFill patternType="solid">
        <fgColor rgb="FFFDD780"/>
        <bgColor rgb="FF000000"/>
      </patternFill>
    </fill>
    <fill>
      <patternFill patternType="solid">
        <fgColor rgb="FFD9E082"/>
        <bgColor rgb="FF000000"/>
      </patternFill>
    </fill>
    <fill>
      <patternFill patternType="solid">
        <fgColor rgb="FFFDC77D"/>
        <bgColor rgb="FF000000"/>
      </patternFill>
    </fill>
    <fill>
      <patternFill patternType="solid">
        <fgColor rgb="FFFCC17C"/>
        <bgColor rgb="FF000000"/>
      </patternFill>
    </fill>
    <fill>
      <patternFill patternType="solid">
        <fgColor rgb="FFFFC7CE"/>
        <bgColor rgb="FFFBE5D6"/>
      </patternFill>
    </fill>
    <fill>
      <patternFill patternType="solid">
        <fgColor rgb="FFFBAA77"/>
        <bgColor rgb="FF000000"/>
      </patternFill>
    </fill>
    <fill>
      <patternFill patternType="solid">
        <fgColor rgb="FFFCC07B"/>
        <bgColor rgb="FF000000"/>
      </patternFill>
    </fill>
    <fill>
      <patternFill patternType="solid">
        <fgColor rgb="FFFDCB7D"/>
        <bgColor rgb="FF000000"/>
      </patternFill>
    </fill>
    <fill>
      <patternFill patternType="solid">
        <fgColor rgb="FFFBAE78"/>
        <bgColor rgb="FF000000"/>
      </patternFill>
    </fill>
    <fill>
      <patternFill patternType="solid">
        <fgColor rgb="FFFDC97D"/>
        <bgColor rgb="FF000000"/>
      </patternFill>
    </fill>
    <fill>
      <patternFill patternType="solid">
        <fgColor rgb="FFFDC67C"/>
        <bgColor rgb="FF000000"/>
      </patternFill>
    </fill>
    <fill>
      <patternFill patternType="solid">
        <fgColor rgb="FFFCC47C"/>
        <bgColor rgb="FF000000"/>
      </patternFill>
    </fill>
    <fill>
      <patternFill patternType="solid">
        <fgColor rgb="FFFBA676"/>
        <bgColor rgb="FF000000"/>
      </patternFill>
    </fill>
    <fill>
      <patternFill patternType="solid">
        <fgColor rgb="FFFCC37C"/>
        <bgColor rgb="FF000000"/>
      </patternFill>
    </fill>
    <fill>
      <patternFill patternType="solid">
        <fgColor rgb="FFFCC27C"/>
        <bgColor rgb="FF000000"/>
      </patternFill>
    </fill>
    <fill>
      <patternFill patternType="solid">
        <fgColor rgb="FFFEDB80"/>
        <bgColor rgb="FF000000"/>
      </patternFill>
    </fill>
    <fill>
      <patternFill patternType="solid">
        <fgColor rgb="FFFCC17B"/>
        <bgColor rgb="FF000000"/>
      </patternFill>
    </fill>
    <fill>
      <patternFill patternType="solid">
        <fgColor rgb="FFFCB379"/>
        <bgColor rgb="FF000000"/>
      </patternFill>
    </fill>
    <fill>
      <patternFill patternType="solid">
        <fgColor rgb="FFFBA777"/>
        <bgColor rgb="FF000000"/>
      </patternFill>
    </fill>
    <fill>
      <patternFill patternType="solid">
        <fgColor rgb="FFFCBF7B"/>
        <bgColor rgb="FF000000"/>
      </patternFill>
    </fill>
    <fill>
      <patternFill patternType="solid">
        <fgColor rgb="FFFCB679"/>
        <bgColor rgb="FF000000"/>
      </patternFill>
    </fill>
    <fill>
      <patternFill patternType="solid">
        <fgColor rgb="FFFCBE7B"/>
        <bgColor rgb="FF000000"/>
      </patternFill>
    </fill>
    <fill>
      <patternFill patternType="solid">
        <fgColor rgb="FFFCBD7B"/>
        <bgColor rgb="FF000000"/>
      </patternFill>
    </fill>
    <fill>
      <patternFill patternType="solid">
        <fgColor rgb="FFFCBC7B"/>
        <bgColor rgb="FF000000"/>
      </patternFill>
    </fill>
    <fill>
      <patternFill patternType="solid">
        <fgColor rgb="FFFCBB7A"/>
        <bgColor rgb="FF000000"/>
      </patternFill>
    </fill>
    <fill>
      <patternFill patternType="solid">
        <fgColor rgb="FFFBAF78"/>
        <bgColor rgb="FF000000"/>
      </patternFill>
    </fill>
    <fill>
      <patternFill patternType="solid">
        <fgColor rgb="FFFCBA7A"/>
        <bgColor rgb="FF000000"/>
      </patternFill>
    </fill>
    <fill>
      <patternFill patternType="solid">
        <fgColor rgb="FFFBAB77"/>
        <bgColor rgb="FF000000"/>
      </patternFill>
    </fill>
    <fill>
      <patternFill patternType="solid">
        <fgColor rgb="FFFCB97A"/>
        <bgColor rgb="FF000000"/>
      </patternFill>
    </fill>
    <fill>
      <patternFill patternType="solid">
        <fgColor rgb="FFFCB77A"/>
        <bgColor rgb="FF000000"/>
      </patternFill>
    </fill>
    <fill>
      <patternFill patternType="solid">
        <fgColor rgb="FFFBB279"/>
        <bgColor rgb="FF000000"/>
      </patternFill>
    </fill>
    <fill>
      <patternFill patternType="solid">
        <fgColor rgb="FFFCB579"/>
        <bgColor rgb="FF000000"/>
      </patternFill>
    </fill>
    <fill>
      <patternFill patternType="solid">
        <fgColor rgb="FFFA9F75"/>
        <bgColor rgb="FF000000"/>
      </patternFill>
    </fill>
    <fill>
      <patternFill patternType="solid">
        <fgColor rgb="FFFBA877"/>
        <bgColor rgb="FF000000"/>
      </patternFill>
    </fill>
    <fill>
      <patternFill patternType="solid">
        <fgColor rgb="FFFBB178"/>
        <bgColor rgb="FF000000"/>
      </patternFill>
    </fill>
    <fill>
      <patternFill patternType="solid">
        <fgColor rgb="FFFBAD78"/>
        <bgColor rgb="FF000000"/>
      </patternFill>
    </fill>
    <fill>
      <patternFill patternType="solid">
        <fgColor rgb="FFFBAC78"/>
        <bgColor rgb="FF000000"/>
      </patternFill>
    </fill>
    <fill>
      <patternFill patternType="solid">
        <fgColor rgb="FFFDC67D"/>
        <bgColor rgb="FF000000"/>
      </patternFill>
    </fill>
    <fill>
      <patternFill patternType="solid">
        <fgColor rgb="FFFBAC77"/>
        <bgColor rgb="FF000000"/>
      </patternFill>
    </fill>
    <fill>
      <patternFill patternType="solid">
        <fgColor rgb="FFFBA576"/>
        <bgColor rgb="FF000000"/>
      </patternFill>
    </fill>
    <fill>
      <patternFill patternType="solid">
        <fgColor rgb="FFFBA376"/>
        <bgColor rgb="FF000000"/>
      </patternFill>
    </fill>
    <fill>
      <patternFill patternType="solid">
        <fgColor rgb="FFFBA276"/>
        <bgColor rgb="FF000000"/>
      </patternFill>
    </fill>
    <fill>
      <patternFill patternType="solid">
        <fgColor rgb="FFFBA175"/>
        <bgColor rgb="FF000000"/>
      </patternFill>
    </fill>
    <fill>
      <patternFill patternType="solid">
        <fgColor rgb="FFFAA075"/>
        <bgColor rgb="FF000000"/>
      </patternFill>
    </fill>
    <fill>
      <patternFill patternType="solid">
        <fgColor rgb="FFFCB87A"/>
        <bgColor rgb="FF000000"/>
      </patternFill>
    </fill>
    <fill>
      <patternFill patternType="solid">
        <fgColor rgb="FFF8796E"/>
        <bgColor rgb="FF000000"/>
      </patternFill>
    </fill>
    <fill>
      <patternFill patternType="solid">
        <fgColor rgb="FFFA9E75"/>
        <bgColor rgb="FF000000"/>
      </patternFill>
    </fill>
    <fill>
      <patternFill patternType="solid">
        <fgColor rgb="FFFA9D75"/>
        <bgColor rgb="FF000000"/>
      </patternFill>
    </fill>
    <fill>
      <patternFill patternType="solid">
        <fgColor rgb="FFFA9072"/>
        <bgColor rgb="FF000000"/>
      </patternFill>
    </fill>
    <fill>
      <patternFill patternType="solid">
        <fgColor rgb="FFFA9C74"/>
        <bgColor rgb="FF000000"/>
      </patternFill>
    </fill>
    <fill>
      <patternFill patternType="solid">
        <fgColor rgb="FFFA9974"/>
        <bgColor rgb="FF000000"/>
      </patternFill>
    </fill>
    <fill>
      <patternFill patternType="solid">
        <fgColor rgb="FFFA9874"/>
        <bgColor rgb="FF000000"/>
      </patternFill>
    </fill>
    <fill>
      <patternFill patternType="solid">
        <fgColor rgb="FFFA9773"/>
        <bgColor rgb="FF000000"/>
      </patternFill>
    </fill>
    <fill>
      <patternFill patternType="solid">
        <fgColor rgb="FFFA9573"/>
        <bgColor rgb="FF000000"/>
      </patternFill>
    </fill>
    <fill>
      <patternFill patternType="solid">
        <fgColor rgb="FFFA9272"/>
        <bgColor rgb="FF000000"/>
      </patternFill>
    </fill>
    <fill>
      <patternFill patternType="solid">
        <fgColor rgb="FFF98D71"/>
        <bgColor rgb="FF000000"/>
      </patternFill>
    </fill>
    <fill>
      <patternFill patternType="solid">
        <fgColor rgb="FFF98B71"/>
        <bgColor rgb="FF000000"/>
      </patternFill>
    </fill>
    <fill>
      <patternFill patternType="solid">
        <fgColor rgb="FFF98470"/>
        <bgColor rgb="FF000000"/>
      </patternFill>
    </fill>
    <fill>
      <patternFill patternType="solid">
        <fgColor rgb="FFF98871"/>
        <bgColor rgb="FF000000"/>
      </patternFill>
    </fill>
    <fill>
      <patternFill patternType="solid">
        <fgColor rgb="FFF98770"/>
        <bgColor rgb="FF000000"/>
      </patternFill>
    </fill>
    <fill>
      <patternFill patternType="solid">
        <fgColor rgb="FFF8756D"/>
        <bgColor rgb="FF000000"/>
      </patternFill>
    </fill>
    <fill>
      <patternFill patternType="solid">
        <fgColor rgb="FFF98370"/>
        <bgColor rgb="FF000000"/>
      </patternFill>
    </fill>
    <fill>
      <patternFill patternType="solid">
        <fgColor rgb="FFF97D6F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86D6B"/>
        <bgColor rgb="FF000000"/>
      </patternFill>
    </fill>
    <fill>
      <patternFill patternType="solid">
        <fgColor rgb="FFFFC7CE"/>
        <bgColor rgb="FFFFF2CC"/>
      </patternFill>
    </fill>
    <fill>
      <patternFill patternType="solid">
        <fgColor rgb="FF6BC17C"/>
        <bgColor rgb="FF000000"/>
      </patternFill>
    </fill>
    <fill>
      <patternFill patternType="solid">
        <fgColor rgb="FF6EC17C"/>
        <bgColor rgb="FF000000"/>
      </patternFill>
    </fill>
    <fill>
      <patternFill patternType="solid">
        <fgColor rgb="FF73C37C"/>
        <bgColor rgb="FF000000"/>
      </patternFill>
    </fill>
    <fill>
      <patternFill patternType="solid">
        <fgColor rgb="FF88C97E"/>
        <bgColor rgb="FF000000"/>
      </patternFill>
    </fill>
    <fill>
      <patternFill patternType="solid">
        <fgColor rgb="FF8ECB7E"/>
        <bgColor rgb="FF000000"/>
      </patternFill>
    </fill>
    <fill>
      <patternFill patternType="solid">
        <fgColor rgb="FFFA9B74"/>
        <bgColor rgb="FF000000"/>
      </patternFill>
    </fill>
    <fill>
      <patternFill patternType="solid">
        <fgColor rgb="FFFA9172"/>
        <bgColor rgb="FF000000"/>
      </patternFill>
    </fill>
    <fill>
      <patternFill patternType="solid">
        <fgColor rgb="FFF9826F"/>
        <bgColor rgb="FF000000"/>
      </patternFill>
    </fill>
    <fill>
      <patternFill patternType="solid">
        <fgColor rgb="FFF87A6E"/>
        <bgColor rgb="FF000000"/>
      </patternFill>
    </fill>
    <fill>
      <patternFill patternType="solid">
        <fgColor rgb="FFF8766D"/>
        <bgColor rgb="FF000000"/>
      </patternFill>
    </fill>
    <fill>
      <patternFill patternType="solid">
        <fgColor rgb="FFF8726C"/>
        <bgColor rgb="FF000000"/>
      </patternFill>
    </fill>
    <fill>
      <patternFill patternType="solid">
        <fgColor rgb="FFF8716C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5" fillId="3" borderId="1" xfId="0" applyFont="1" applyFill="1" applyBorder="1"/>
    <xf numFmtId="17" fontId="4" fillId="3" borderId="0" xfId="0" applyNumberFormat="1" applyFont="1" applyFill="1" applyAlignment="1">
      <alignment horizontal="left"/>
    </xf>
    <xf numFmtId="9" fontId="5" fillId="3" borderId="2" xfId="0" applyNumberFormat="1" applyFont="1" applyFill="1" applyBorder="1"/>
    <xf numFmtId="0" fontId="7" fillId="4" borderId="4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9" fontId="5" fillId="5" borderId="3" xfId="0" applyNumberFormat="1" applyFont="1" applyFill="1" applyBorder="1" applyAlignment="1">
      <alignment horizontal="center"/>
    </xf>
    <xf numFmtId="9" fontId="5" fillId="6" borderId="3" xfId="0" applyNumberFormat="1" applyFont="1" applyFill="1" applyBorder="1" applyAlignment="1">
      <alignment horizontal="center"/>
    </xf>
    <xf numFmtId="10" fontId="0" fillId="0" borderId="0" xfId="0" applyNumberFormat="1"/>
    <xf numFmtId="10" fontId="5" fillId="6" borderId="3" xfId="0" applyNumberFormat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8" fillId="0" borderId="0" xfId="0" applyFont="1"/>
    <xf numFmtId="0" fontId="8" fillId="7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0" fontId="11" fillId="7" borderId="3" xfId="0" applyNumberFormat="1" applyFont="1" applyFill="1" applyBorder="1" applyAlignment="1">
      <alignment horizontal="center"/>
    </xf>
    <xf numFmtId="9" fontId="11" fillId="7" borderId="3" xfId="0" applyNumberFormat="1" applyFont="1" applyFill="1" applyBorder="1" applyAlignment="1">
      <alignment horizontal="center"/>
    </xf>
    <xf numFmtId="10" fontId="8" fillId="7" borderId="3" xfId="0" applyNumberFormat="1" applyFont="1" applyFill="1" applyBorder="1" applyAlignment="1">
      <alignment horizontal="center"/>
    </xf>
    <xf numFmtId="9" fontId="8" fillId="7" borderId="3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0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8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7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0" xfId="0" applyFont="1"/>
    <xf numFmtId="0" fontId="8" fillId="0" borderId="7" xfId="0" applyFont="1" applyBorder="1"/>
    <xf numFmtId="0" fontId="7" fillId="0" borderId="0" xfId="0" applyFont="1" applyAlignment="1">
      <alignment horizontal="center" vertical="center" wrapText="1"/>
    </xf>
    <xf numFmtId="0" fontId="8" fillId="10" borderId="3" xfId="0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/>
    </xf>
    <xf numFmtId="0" fontId="10" fillId="10" borderId="5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10" fontId="1" fillId="13" borderId="3" xfId="0" applyNumberFormat="1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7" fillId="14" borderId="0" xfId="0" applyFont="1" applyFill="1"/>
    <xf numFmtId="0" fontId="1" fillId="15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20" borderId="3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3" borderId="3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1" fillId="25" borderId="3" xfId="0" applyFont="1" applyFill="1" applyBorder="1" applyAlignment="1">
      <alignment horizontal="center"/>
    </xf>
    <xf numFmtId="0" fontId="1" fillId="26" borderId="3" xfId="0" applyFont="1" applyFill="1" applyBorder="1" applyAlignment="1">
      <alignment horizontal="center"/>
    </xf>
    <xf numFmtId="0" fontId="1" fillId="27" borderId="3" xfId="0" applyFont="1" applyFill="1" applyBorder="1" applyAlignment="1">
      <alignment horizontal="center"/>
    </xf>
    <xf numFmtId="0" fontId="1" fillId="28" borderId="3" xfId="0" applyFont="1" applyFill="1" applyBorder="1" applyAlignment="1">
      <alignment horizontal="center"/>
    </xf>
    <xf numFmtId="0" fontId="1" fillId="29" borderId="3" xfId="0" applyFont="1" applyFill="1" applyBorder="1" applyAlignment="1">
      <alignment horizontal="center"/>
    </xf>
    <xf numFmtId="10" fontId="1" fillId="30" borderId="3" xfId="0" applyNumberFormat="1" applyFont="1" applyFill="1" applyBorder="1" applyAlignment="1">
      <alignment horizontal="center"/>
    </xf>
    <xf numFmtId="0" fontId="1" fillId="31" borderId="3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10" fontId="1" fillId="33" borderId="3" xfId="0" applyNumberFormat="1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35" borderId="3" xfId="0" applyFont="1" applyFill="1" applyBorder="1" applyAlignment="1">
      <alignment horizontal="center"/>
    </xf>
    <xf numFmtId="0" fontId="1" fillId="36" borderId="3" xfId="0" applyFont="1" applyFill="1" applyBorder="1" applyAlignment="1">
      <alignment horizontal="center"/>
    </xf>
    <xf numFmtId="10" fontId="1" fillId="37" borderId="3" xfId="0" applyNumberFormat="1" applyFont="1" applyFill="1" applyBorder="1" applyAlignment="1">
      <alignment horizontal="center"/>
    </xf>
    <xf numFmtId="0" fontId="1" fillId="38" borderId="3" xfId="0" applyFont="1" applyFill="1" applyBorder="1" applyAlignment="1">
      <alignment horizontal="center"/>
    </xf>
    <xf numFmtId="10" fontId="1" fillId="39" borderId="3" xfId="0" applyNumberFormat="1" applyFont="1" applyFill="1" applyBorder="1" applyAlignment="1">
      <alignment horizontal="center"/>
    </xf>
    <xf numFmtId="0" fontId="1" fillId="40" borderId="3" xfId="0" applyFont="1" applyFill="1" applyBorder="1" applyAlignment="1">
      <alignment horizontal="center"/>
    </xf>
    <xf numFmtId="0" fontId="1" fillId="41" borderId="3" xfId="0" applyFont="1" applyFill="1" applyBorder="1" applyAlignment="1">
      <alignment horizontal="center"/>
    </xf>
    <xf numFmtId="10" fontId="1" fillId="42" borderId="3" xfId="0" applyNumberFormat="1" applyFont="1" applyFill="1" applyBorder="1" applyAlignment="1">
      <alignment horizontal="center"/>
    </xf>
    <xf numFmtId="10" fontId="1" fillId="43" borderId="3" xfId="0" applyNumberFormat="1" applyFont="1" applyFill="1" applyBorder="1" applyAlignment="1">
      <alignment horizontal="center"/>
    </xf>
    <xf numFmtId="0" fontId="1" fillId="44" borderId="3" xfId="0" applyFont="1" applyFill="1" applyBorder="1" applyAlignment="1">
      <alignment horizontal="center"/>
    </xf>
    <xf numFmtId="10" fontId="1" fillId="45" borderId="3" xfId="0" applyNumberFormat="1" applyFont="1" applyFill="1" applyBorder="1" applyAlignment="1">
      <alignment horizontal="center"/>
    </xf>
    <xf numFmtId="10" fontId="1" fillId="46" borderId="3" xfId="0" applyNumberFormat="1" applyFont="1" applyFill="1" applyBorder="1" applyAlignment="1">
      <alignment horizontal="center"/>
    </xf>
    <xf numFmtId="0" fontId="1" fillId="47" borderId="3" xfId="0" applyFont="1" applyFill="1" applyBorder="1" applyAlignment="1">
      <alignment horizontal="center"/>
    </xf>
    <xf numFmtId="10" fontId="1" fillId="48" borderId="3" xfId="0" applyNumberFormat="1" applyFont="1" applyFill="1" applyBorder="1" applyAlignment="1">
      <alignment horizontal="center"/>
    </xf>
    <xf numFmtId="0" fontId="1" fillId="49" borderId="3" xfId="0" applyFont="1" applyFill="1" applyBorder="1" applyAlignment="1">
      <alignment horizontal="center"/>
    </xf>
    <xf numFmtId="10" fontId="1" fillId="50" borderId="3" xfId="0" applyNumberFormat="1" applyFont="1" applyFill="1" applyBorder="1" applyAlignment="1">
      <alignment horizontal="center"/>
    </xf>
    <xf numFmtId="0" fontId="1" fillId="51" borderId="3" xfId="0" applyFont="1" applyFill="1" applyBorder="1" applyAlignment="1">
      <alignment horizontal="center"/>
    </xf>
    <xf numFmtId="10" fontId="1" fillId="52" borderId="3" xfId="0" applyNumberFormat="1" applyFont="1" applyFill="1" applyBorder="1" applyAlignment="1">
      <alignment horizontal="center"/>
    </xf>
    <xf numFmtId="0" fontId="1" fillId="53" borderId="3" xfId="0" applyFont="1" applyFill="1" applyBorder="1" applyAlignment="1">
      <alignment horizontal="center"/>
    </xf>
    <xf numFmtId="10" fontId="1" fillId="54" borderId="3" xfId="0" applyNumberFormat="1" applyFont="1" applyFill="1" applyBorder="1" applyAlignment="1">
      <alignment horizontal="center"/>
    </xf>
    <xf numFmtId="0" fontId="1" fillId="55" borderId="3" xfId="0" applyFont="1" applyFill="1" applyBorder="1" applyAlignment="1">
      <alignment horizontal="center"/>
    </xf>
    <xf numFmtId="0" fontId="1" fillId="56" borderId="3" xfId="0" applyFont="1" applyFill="1" applyBorder="1" applyAlignment="1">
      <alignment horizontal="center"/>
    </xf>
    <xf numFmtId="0" fontId="1" fillId="57" borderId="3" xfId="0" applyFont="1" applyFill="1" applyBorder="1" applyAlignment="1">
      <alignment horizontal="center"/>
    </xf>
    <xf numFmtId="0" fontId="1" fillId="58" borderId="3" xfId="0" applyFont="1" applyFill="1" applyBorder="1" applyAlignment="1">
      <alignment horizontal="center"/>
    </xf>
    <xf numFmtId="0" fontId="1" fillId="59" borderId="3" xfId="0" applyFont="1" applyFill="1" applyBorder="1" applyAlignment="1">
      <alignment horizontal="center"/>
    </xf>
    <xf numFmtId="0" fontId="1" fillId="60" borderId="3" xfId="0" applyFont="1" applyFill="1" applyBorder="1" applyAlignment="1">
      <alignment horizontal="center"/>
    </xf>
    <xf numFmtId="0" fontId="1" fillId="61" borderId="3" xfId="0" applyFont="1" applyFill="1" applyBorder="1" applyAlignment="1">
      <alignment horizontal="center"/>
    </xf>
    <xf numFmtId="0" fontId="1" fillId="62" borderId="3" xfId="0" applyFont="1" applyFill="1" applyBorder="1" applyAlignment="1">
      <alignment horizontal="center"/>
    </xf>
    <xf numFmtId="0" fontId="1" fillId="63" borderId="3" xfId="0" applyFont="1" applyFill="1" applyBorder="1" applyAlignment="1">
      <alignment horizontal="center"/>
    </xf>
    <xf numFmtId="0" fontId="1" fillId="64" borderId="3" xfId="0" applyFont="1" applyFill="1" applyBorder="1" applyAlignment="1">
      <alignment horizontal="center"/>
    </xf>
    <xf numFmtId="0" fontId="1" fillId="65" borderId="3" xfId="0" applyFont="1" applyFill="1" applyBorder="1" applyAlignment="1">
      <alignment horizontal="center"/>
    </xf>
    <xf numFmtId="0" fontId="1" fillId="66" borderId="3" xfId="0" applyFont="1" applyFill="1" applyBorder="1" applyAlignment="1">
      <alignment horizontal="center"/>
    </xf>
    <xf numFmtId="0" fontId="1" fillId="67" borderId="3" xfId="0" applyFont="1" applyFill="1" applyBorder="1" applyAlignment="1">
      <alignment horizontal="center"/>
    </xf>
    <xf numFmtId="0" fontId="1" fillId="68" borderId="3" xfId="0" applyFont="1" applyFill="1" applyBorder="1" applyAlignment="1">
      <alignment horizontal="center"/>
    </xf>
    <xf numFmtId="0" fontId="1" fillId="69" borderId="3" xfId="0" applyFont="1" applyFill="1" applyBorder="1" applyAlignment="1">
      <alignment horizontal="center"/>
    </xf>
    <xf numFmtId="10" fontId="1" fillId="70" borderId="3" xfId="0" applyNumberFormat="1" applyFont="1" applyFill="1" applyBorder="1" applyAlignment="1">
      <alignment horizontal="center"/>
    </xf>
    <xf numFmtId="0" fontId="1" fillId="71" borderId="3" xfId="0" applyFont="1" applyFill="1" applyBorder="1" applyAlignment="1">
      <alignment horizontal="center"/>
    </xf>
    <xf numFmtId="0" fontId="1" fillId="72" borderId="3" xfId="0" applyFont="1" applyFill="1" applyBorder="1" applyAlignment="1">
      <alignment horizontal="center"/>
    </xf>
    <xf numFmtId="10" fontId="1" fillId="73" borderId="3" xfId="0" applyNumberFormat="1" applyFont="1" applyFill="1" applyBorder="1" applyAlignment="1">
      <alignment horizontal="center"/>
    </xf>
    <xf numFmtId="0" fontId="1" fillId="74" borderId="3" xfId="0" applyFont="1" applyFill="1" applyBorder="1" applyAlignment="1">
      <alignment horizontal="center"/>
    </xf>
    <xf numFmtId="0" fontId="1" fillId="75" borderId="3" xfId="0" applyFont="1" applyFill="1" applyBorder="1" applyAlignment="1">
      <alignment horizontal="center"/>
    </xf>
    <xf numFmtId="0" fontId="1" fillId="76" borderId="3" xfId="0" applyFont="1" applyFill="1" applyBorder="1" applyAlignment="1">
      <alignment horizontal="center"/>
    </xf>
    <xf numFmtId="0" fontId="1" fillId="77" borderId="3" xfId="0" applyFont="1" applyFill="1" applyBorder="1" applyAlignment="1">
      <alignment horizontal="center"/>
    </xf>
    <xf numFmtId="0" fontId="1" fillId="78" borderId="3" xfId="0" applyFont="1" applyFill="1" applyBorder="1" applyAlignment="1">
      <alignment horizontal="center"/>
    </xf>
    <xf numFmtId="0" fontId="1" fillId="79" borderId="3" xfId="0" applyFont="1" applyFill="1" applyBorder="1" applyAlignment="1">
      <alignment horizontal="center"/>
    </xf>
    <xf numFmtId="10" fontId="1" fillId="80" borderId="3" xfId="0" applyNumberFormat="1" applyFont="1" applyFill="1" applyBorder="1" applyAlignment="1">
      <alignment horizontal="center"/>
    </xf>
    <xf numFmtId="0" fontId="1" fillId="81" borderId="3" xfId="0" applyFont="1" applyFill="1" applyBorder="1" applyAlignment="1">
      <alignment horizontal="center"/>
    </xf>
    <xf numFmtId="0" fontId="1" fillId="82" borderId="3" xfId="0" applyFont="1" applyFill="1" applyBorder="1" applyAlignment="1">
      <alignment horizontal="center"/>
    </xf>
    <xf numFmtId="0" fontId="1" fillId="83" borderId="3" xfId="0" applyFont="1" applyFill="1" applyBorder="1" applyAlignment="1">
      <alignment horizontal="center"/>
    </xf>
    <xf numFmtId="0" fontId="1" fillId="84" borderId="3" xfId="0" applyFont="1" applyFill="1" applyBorder="1" applyAlignment="1">
      <alignment horizontal="center"/>
    </xf>
    <xf numFmtId="10" fontId="1" fillId="85" borderId="3" xfId="0" applyNumberFormat="1" applyFont="1" applyFill="1" applyBorder="1" applyAlignment="1">
      <alignment horizontal="center"/>
    </xf>
    <xf numFmtId="0" fontId="1" fillId="86" borderId="3" xfId="0" applyFont="1" applyFill="1" applyBorder="1" applyAlignment="1">
      <alignment horizontal="center"/>
    </xf>
    <xf numFmtId="0" fontId="1" fillId="87" borderId="3" xfId="0" applyFont="1" applyFill="1" applyBorder="1" applyAlignment="1">
      <alignment horizontal="center"/>
    </xf>
    <xf numFmtId="10" fontId="1" fillId="88" borderId="3" xfId="0" applyNumberFormat="1" applyFont="1" applyFill="1" applyBorder="1" applyAlignment="1">
      <alignment horizontal="center"/>
    </xf>
    <xf numFmtId="0" fontId="1" fillId="89" borderId="3" xfId="0" applyFont="1" applyFill="1" applyBorder="1" applyAlignment="1">
      <alignment horizontal="center"/>
    </xf>
    <xf numFmtId="10" fontId="1" fillId="90" borderId="3" xfId="0" applyNumberFormat="1" applyFont="1" applyFill="1" applyBorder="1" applyAlignment="1">
      <alignment horizontal="center"/>
    </xf>
    <xf numFmtId="0" fontId="1" fillId="91" borderId="3" xfId="0" applyFont="1" applyFill="1" applyBorder="1" applyAlignment="1">
      <alignment horizontal="center"/>
    </xf>
    <xf numFmtId="0" fontId="1" fillId="92" borderId="3" xfId="0" applyFont="1" applyFill="1" applyBorder="1" applyAlignment="1">
      <alignment horizontal="center"/>
    </xf>
    <xf numFmtId="0" fontId="1" fillId="93" borderId="3" xfId="0" applyFont="1" applyFill="1" applyBorder="1" applyAlignment="1">
      <alignment horizontal="center"/>
    </xf>
    <xf numFmtId="10" fontId="1" fillId="94" borderId="3" xfId="0" applyNumberFormat="1" applyFont="1" applyFill="1" applyBorder="1" applyAlignment="1">
      <alignment horizontal="center"/>
    </xf>
    <xf numFmtId="10" fontId="1" fillId="95" borderId="3" xfId="0" applyNumberFormat="1" applyFont="1" applyFill="1" applyBorder="1" applyAlignment="1">
      <alignment horizontal="center"/>
    </xf>
    <xf numFmtId="10" fontId="1" fillId="96" borderId="3" xfId="0" applyNumberFormat="1" applyFont="1" applyFill="1" applyBorder="1" applyAlignment="1">
      <alignment horizontal="center"/>
    </xf>
    <xf numFmtId="0" fontId="1" fillId="97" borderId="3" xfId="0" applyFont="1" applyFill="1" applyBorder="1" applyAlignment="1">
      <alignment horizontal="center"/>
    </xf>
    <xf numFmtId="10" fontId="1" fillId="98" borderId="3" xfId="0" applyNumberFormat="1" applyFont="1" applyFill="1" applyBorder="1" applyAlignment="1">
      <alignment horizontal="center"/>
    </xf>
    <xf numFmtId="0" fontId="1" fillId="99" borderId="3" xfId="0" applyFont="1" applyFill="1" applyBorder="1" applyAlignment="1">
      <alignment horizontal="center"/>
    </xf>
    <xf numFmtId="0" fontId="1" fillId="100" borderId="3" xfId="0" applyFont="1" applyFill="1" applyBorder="1" applyAlignment="1">
      <alignment horizontal="center"/>
    </xf>
    <xf numFmtId="10" fontId="1" fillId="101" borderId="3" xfId="0" applyNumberFormat="1" applyFont="1" applyFill="1" applyBorder="1" applyAlignment="1">
      <alignment horizontal="center"/>
    </xf>
    <xf numFmtId="0" fontId="1" fillId="102" borderId="3" xfId="0" applyFont="1" applyFill="1" applyBorder="1" applyAlignment="1">
      <alignment horizontal="center"/>
    </xf>
    <xf numFmtId="10" fontId="1" fillId="103" borderId="3" xfId="0" applyNumberFormat="1" applyFont="1" applyFill="1" applyBorder="1" applyAlignment="1">
      <alignment horizontal="center"/>
    </xf>
    <xf numFmtId="10" fontId="1" fillId="104" borderId="3" xfId="0" applyNumberFormat="1" applyFont="1" applyFill="1" applyBorder="1" applyAlignment="1">
      <alignment horizontal="center"/>
    </xf>
    <xf numFmtId="0" fontId="1" fillId="105" borderId="3" xfId="0" applyFont="1" applyFill="1" applyBorder="1" applyAlignment="1">
      <alignment horizontal="center"/>
    </xf>
    <xf numFmtId="10" fontId="1" fillId="106" borderId="3" xfId="0" applyNumberFormat="1" applyFont="1" applyFill="1" applyBorder="1" applyAlignment="1">
      <alignment horizontal="center"/>
    </xf>
    <xf numFmtId="0" fontId="1" fillId="107" borderId="3" xfId="0" applyFont="1" applyFill="1" applyBorder="1" applyAlignment="1">
      <alignment horizontal="center"/>
    </xf>
    <xf numFmtId="0" fontId="1" fillId="108" borderId="3" xfId="0" applyFont="1" applyFill="1" applyBorder="1" applyAlignment="1">
      <alignment horizontal="center"/>
    </xf>
    <xf numFmtId="10" fontId="1" fillId="81" borderId="3" xfId="0" applyNumberFormat="1" applyFont="1" applyFill="1" applyBorder="1" applyAlignment="1">
      <alignment horizontal="center"/>
    </xf>
    <xf numFmtId="10" fontId="1" fillId="109" borderId="3" xfId="0" applyNumberFormat="1" applyFont="1" applyFill="1" applyBorder="1" applyAlignment="1">
      <alignment horizontal="center"/>
    </xf>
    <xf numFmtId="0" fontId="1" fillId="110" borderId="3" xfId="0" applyFont="1" applyFill="1" applyBorder="1" applyAlignment="1">
      <alignment horizontal="center"/>
    </xf>
    <xf numFmtId="10" fontId="1" fillId="111" borderId="3" xfId="0" applyNumberFormat="1" applyFont="1" applyFill="1" applyBorder="1" applyAlignment="1">
      <alignment horizontal="center"/>
    </xf>
    <xf numFmtId="10" fontId="1" fillId="112" borderId="3" xfId="0" applyNumberFormat="1" applyFont="1" applyFill="1" applyBorder="1" applyAlignment="1">
      <alignment horizontal="center"/>
    </xf>
    <xf numFmtId="0" fontId="1" fillId="113" borderId="3" xfId="0" applyFont="1" applyFill="1" applyBorder="1" applyAlignment="1">
      <alignment horizontal="center"/>
    </xf>
    <xf numFmtId="10" fontId="1" fillId="114" borderId="3" xfId="0" applyNumberFormat="1" applyFont="1" applyFill="1" applyBorder="1" applyAlignment="1">
      <alignment horizontal="center"/>
    </xf>
    <xf numFmtId="10" fontId="1" fillId="115" borderId="3" xfId="0" applyNumberFormat="1" applyFont="1" applyFill="1" applyBorder="1" applyAlignment="1">
      <alignment horizontal="center"/>
    </xf>
    <xf numFmtId="10" fontId="1" fillId="116" borderId="3" xfId="0" applyNumberFormat="1" applyFont="1" applyFill="1" applyBorder="1" applyAlignment="1">
      <alignment horizontal="center"/>
    </xf>
    <xf numFmtId="0" fontId="1" fillId="117" borderId="3" xfId="0" applyFont="1" applyFill="1" applyBorder="1" applyAlignment="1">
      <alignment horizontal="center"/>
    </xf>
    <xf numFmtId="10" fontId="1" fillId="118" borderId="3" xfId="0" applyNumberFormat="1" applyFont="1" applyFill="1" applyBorder="1" applyAlignment="1">
      <alignment horizontal="center"/>
    </xf>
    <xf numFmtId="10" fontId="1" fillId="119" borderId="3" xfId="0" applyNumberFormat="1" applyFont="1" applyFill="1" applyBorder="1" applyAlignment="1">
      <alignment horizontal="center"/>
    </xf>
    <xf numFmtId="10" fontId="1" fillId="120" borderId="3" xfId="0" applyNumberFormat="1" applyFont="1" applyFill="1" applyBorder="1" applyAlignment="1">
      <alignment horizontal="center"/>
    </xf>
    <xf numFmtId="10" fontId="1" fillId="121" borderId="3" xfId="0" applyNumberFormat="1" applyFont="1" applyFill="1" applyBorder="1" applyAlignment="1">
      <alignment horizontal="center"/>
    </xf>
    <xf numFmtId="10" fontId="1" fillId="122" borderId="3" xfId="0" applyNumberFormat="1" applyFont="1" applyFill="1" applyBorder="1" applyAlignment="1">
      <alignment horizontal="center"/>
    </xf>
    <xf numFmtId="10" fontId="1" fillId="123" borderId="3" xfId="0" applyNumberFormat="1" applyFont="1" applyFill="1" applyBorder="1" applyAlignment="1">
      <alignment horizontal="center"/>
    </xf>
    <xf numFmtId="0" fontId="1" fillId="124" borderId="3" xfId="0" applyFont="1" applyFill="1" applyBorder="1" applyAlignment="1">
      <alignment horizontal="center"/>
    </xf>
    <xf numFmtId="0" fontId="1" fillId="125" borderId="3" xfId="0" applyFont="1" applyFill="1" applyBorder="1" applyAlignment="1">
      <alignment horizontal="center"/>
    </xf>
    <xf numFmtId="10" fontId="1" fillId="126" borderId="3" xfId="0" applyNumberFormat="1" applyFont="1" applyFill="1" applyBorder="1" applyAlignment="1">
      <alignment horizontal="center"/>
    </xf>
    <xf numFmtId="10" fontId="1" fillId="127" borderId="3" xfId="0" applyNumberFormat="1" applyFont="1" applyFill="1" applyBorder="1" applyAlignment="1">
      <alignment horizontal="center"/>
    </xf>
    <xf numFmtId="0" fontId="1" fillId="128" borderId="3" xfId="0" applyFont="1" applyFill="1" applyBorder="1" applyAlignment="1">
      <alignment horizontal="center"/>
    </xf>
    <xf numFmtId="10" fontId="1" fillId="82" borderId="3" xfId="0" applyNumberFormat="1" applyFont="1" applyFill="1" applyBorder="1" applyAlignment="1">
      <alignment horizontal="center"/>
    </xf>
    <xf numFmtId="0" fontId="1" fillId="106" borderId="3" xfId="0" applyFont="1" applyFill="1" applyBorder="1" applyAlignment="1">
      <alignment horizontal="center"/>
    </xf>
    <xf numFmtId="0" fontId="1" fillId="129" borderId="3" xfId="0" applyFont="1" applyFill="1" applyBorder="1" applyAlignment="1">
      <alignment horizontal="center"/>
    </xf>
    <xf numFmtId="10" fontId="1" fillId="130" borderId="3" xfId="0" applyNumberFormat="1" applyFont="1" applyFill="1" applyBorder="1" applyAlignment="1">
      <alignment horizontal="center"/>
    </xf>
    <xf numFmtId="10" fontId="1" fillId="131" borderId="3" xfId="0" applyNumberFormat="1" applyFont="1" applyFill="1" applyBorder="1" applyAlignment="1">
      <alignment horizontal="center"/>
    </xf>
    <xf numFmtId="10" fontId="1" fillId="132" borderId="3" xfId="0" applyNumberFormat="1" applyFont="1" applyFill="1" applyBorder="1" applyAlignment="1">
      <alignment horizontal="center"/>
    </xf>
    <xf numFmtId="10" fontId="1" fillId="133" borderId="3" xfId="0" applyNumberFormat="1" applyFont="1" applyFill="1" applyBorder="1" applyAlignment="1">
      <alignment horizontal="center"/>
    </xf>
    <xf numFmtId="0" fontId="1" fillId="134" borderId="3" xfId="0" applyFont="1" applyFill="1" applyBorder="1" applyAlignment="1">
      <alignment horizontal="center"/>
    </xf>
    <xf numFmtId="10" fontId="1" fillId="135" borderId="3" xfId="0" applyNumberFormat="1" applyFont="1" applyFill="1" applyBorder="1" applyAlignment="1">
      <alignment horizontal="center"/>
    </xf>
    <xf numFmtId="0" fontId="1" fillId="136" borderId="3" xfId="0" applyFont="1" applyFill="1" applyBorder="1" applyAlignment="1">
      <alignment horizontal="center"/>
    </xf>
    <xf numFmtId="0" fontId="1" fillId="137" borderId="3" xfId="0" applyFont="1" applyFill="1" applyBorder="1" applyAlignment="1">
      <alignment horizontal="center"/>
    </xf>
    <xf numFmtId="10" fontId="1" fillId="138" borderId="3" xfId="0" applyNumberFormat="1" applyFont="1" applyFill="1" applyBorder="1" applyAlignment="1">
      <alignment horizontal="center"/>
    </xf>
    <xf numFmtId="10" fontId="1" fillId="15" borderId="3" xfId="0" applyNumberFormat="1" applyFont="1" applyFill="1" applyBorder="1" applyAlignment="1">
      <alignment horizontal="center"/>
    </xf>
    <xf numFmtId="10" fontId="1" fillId="38" borderId="3" xfId="0" applyNumberFormat="1" applyFont="1" applyFill="1" applyBorder="1" applyAlignment="1">
      <alignment horizontal="center"/>
    </xf>
    <xf numFmtId="10" fontId="1" fillId="139" borderId="3" xfId="0" applyNumberFormat="1" applyFont="1" applyFill="1" applyBorder="1" applyAlignment="1">
      <alignment horizontal="center"/>
    </xf>
    <xf numFmtId="10" fontId="1" fillId="16" borderId="3" xfId="0" applyNumberFormat="1" applyFont="1" applyFill="1" applyBorder="1" applyAlignment="1">
      <alignment horizontal="center"/>
    </xf>
    <xf numFmtId="10" fontId="1" fillId="140" borderId="3" xfId="0" applyNumberFormat="1" applyFont="1" applyFill="1" applyBorder="1" applyAlignment="1">
      <alignment horizontal="center"/>
    </xf>
    <xf numFmtId="10" fontId="1" fillId="57" borderId="3" xfId="0" applyNumberFormat="1" applyFont="1" applyFill="1" applyBorder="1" applyAlignment="1">
      <alignment horizontal="center"/>
    </xf>
    <xf numFmtId="10" fontId="1" fillId="141" borderId="3" xfId="0" applyNumberFormat="1" applyFont="1" applyFill="1" applyBorder="1" applyAlignment="1">
      <alignment horizontal="center"/>
    </xf>
    <xf numFmtId="0" fontId="1" fillId="142" borderId="3" xfId="0" applyFont="1" applyFill="1" applyBorder="1" applyAlignment="1">
      <alignment horizontal="center"/>
    </xf>
    <xf numFmtId="10" fontId="1" fillId="108" borderId="3" xfId="0" applyNumberFormat="1" applyFont="1" applyFill="1" applyBorder="1" applyAlignment="1">
      <alignment horizontal="center"/>
    </xf>
    <xf numFmtId="0" fontId="1" fillId="143" borderId="3" xfId="0" applyFont="1" applyFill="1" applyBorder="1" applyAlignment="1">
      <alignment horizontal="center"/>
    </xf>
    <xf numFmtId="10" fontId="1" fillId="61" borderId="3" xfId="0" applyNumberFormat="1" applyFont="1" applyFill="1" applyBorder="1" applyAlignment="1">
      <alignment horizontal="center"/>
    </xf>
    <xf numFmtId="10" fontId="1" fillId="71" borderId="3" xfId="0" applyNumberFormat="1" applyFont="1" applyFill="1" applyBorder="1" applyAlignment="1">
      <alignment horizontal="center"/>
    </xf>
    <xf numFmtId="10" fontId="1" fillId="144" borderId="3" xfId="0" applyNumberFormat="1" applyFont="1" applyFill="1" applyBorder="1" applyAlignment="1">
      <alignment horizontal="center"/>
    </xf>
    <xf numFmtId="0" fontId="1" fillId="145" borderId="3" xfId="0" applyFont="1" applyFill="1" applyBorder="1" applyAlignment="1">
      <alignment horizontal="center"/>
    </xf>
    <xf numFmtId="10" fontId="1" fillId="78" borderId="3" xfId="0" applyNumberFormat="1" applyFont="1" applyFill="1" applyBorder="1" applyAlignment="1">
      <alignment horizontal="center"/>
    </xf>
    <xf numFmtId="10" fontId="1" fillId="146" borderId="3" xfId="0" applyNumberFormat="1" applyFont="1" applyFill="1" applyBorder="1" applyAlignment="1">
      <alignment horizontal="center"/>
    </xf>
    <xf numFmtId="10" fontId="1" fillId="62" borderId="3" xfId="0" applyNumberFormat="1" applyFont="1" applyFill="1" applyBorder="1" applyAlignment="1">
      <alignment horizontal="center"/>
    </xf>
    <xf numFmtId="10" fontId="1" fillId="22" borderId="3" xfId="0" applyNumberFormat="1" applyFont="1" applyFill="1" applyBorder="1" applyAlignment="1">
      <alignment horizontal="center"/>
    </xf>
    <xf numFmtId="10" fontId="1" fillId="64" borderId="3" xfId="0" applyNumberFormat="1" applyFont="1" applyFill="1" applyBorder="1" applyAlignment="1">
      <alignment horizontal="center"/>
    </xf>
    <xf numFmtId="10" fontId="1" fillId="65" borderId="3" xfId="0" applyNumberFormat="1" applyFont="1" applyFill="1" applyBorder="1" applyAlignment="1">
      <alignment horizontal="center"/>
    </xf>
    <xf numFmtId="0" fontId="1" fillId="147" borderId="3" xfId="0" applyFont="1" applyFill="1" applyBorder="1" applyAlignment="1">
      <alignment horizontal="center"/>
    </xf>
    <xf numFmtId="0" fontId="1" fillId="148" borderId="3" xfId="0" applyFont="1" applyFill="1" applyBorder="1" applyAlignment="1">
      <alignment horizontal="center"/>
    </xf>
    <xf numFmtId="0" fontId="1" fillId="149" borderId="3" xfId="0" applyFont="1" applyFill="1" applyBorder="1" applyAlignment="1">
      <alignment horizontal="center"/>
    </xf>
    <xf numFmtId="10" fontId="1" fillId="79" borderId="3" xfId="0" applyNumberFormat="1" applyFont="1" applyFill="1" applyBorder="1" applyAlignment="1">
      <alignment horizontal="center"/>
    </xf>
    <xf numFmtId="10" fontId="1" fillId="150" borderId="3" xfId="0" applyNumberFormat="1" applyFont="1" applyFill="1" applyBorder="1" applyAlignment="1">
      <alignment horizontal="center"/>
    </xf>
    <xf numFmtId="10" fontId="1" fillId="99" borderId="3" xfId="0" applyNumberFormat="1" applyFont="1" applyFill="1" applyBorder="1" applyAlignment="1">
      <alignment horizontal="center"/>
    </xf>
    <xf numFmtId="10" fontId="1" fillId="23" borderId="3" xfId="0" applyNumberFormat="1" applyFont="1" applyFill="1" applyBorder="1" applyAlignment="1">
      <alignment horizontal="center"/>
    </xf>
    <xf numFmtId="0" fontId="1" fillId="151" borderId="3" xfId="0" applyFont="1" applyFill="1" applyBorder="1" applyAlignment="1">
      <alignment horizontal="center"/>
    </xf>
    <xf numFmtId="10" fontId="1" fillId="31" borderId="3" xfId="0" applyNumberFormat="1" applyFont="1" applyFill="1" applyBorder="1" applyAlignment="1">
      <alignment horizontal="center"/>
    </xf>
    <xf numFmtId="10" fontId="1" fillId="35" borderId="3" xfId="0" applyNumberFormat="1" applyFont="1" applyFill="1" applyBorder="1" applyAlignment="1">
      <alignment horizontal="center"/>
    </xf>
    <xf numFmtId="10" fontId="1" fillId="26" borderId="3" xfId="0" applyNumberFormat="1" applyFont="1" applyFill="1" applyBorder="1" applyAlignment="1">
      <alignment horizontal="center"/>
    </xf>
    <xf numFmtId="10" fontId="1" fillId="66" borderId="3" xfId="0" applyNumberFormat="1" applyFont="1" applyFill="1" applyBorder="1" applyAlignment="1">
      <alignment horizontal="center"/>
    </xf>
    <xf numFmtId="10" fontId="1" fillId="76" borderId="3" xfId="0" applyNumberFormat="1" applyFont="1" applyFill="1" applyBorder="1" applyAlignment="1">
      <alignment horizontal="center"/>
    </xf>
    <xf numFmtId="0" fontId="1" fillId="152" borderId="3" xfId="0" applyFont="1" applyFill="1" applyBorder="1" applyAlignment="1">
      <alignment horizontal="center"/>
    </xf>
    <xf numFmtId="10" fontId="1" fillId="53" borderId="3" xfId="0" applyNumberFormat="1" applyFont="1" applyFill="1" applyBorder="1" applyAlignment="1">
      <alignment horizontal="center"/>
    </xf>
    <xf numFmtId="10" fontId="1" fillId="77" borderId="3" xfId="0" applyNumberFormat="1" applyFont="1" applyFill="1" applyBorder="1" applyAlignment="1">
      <alignment horizontal="center"/>
    </xf>
    <xf numFmtId="10" fontId="1" fillId="86" borderId="3" xfId="0" applyNumberFormat="1" applyFont="1" applyFill="1" applyBorder="1" applyAlignment="1">
      <alignment horizontal="center"/>
    </xf>
    <xf numFmtId="10" fontId="1" fillId="93" borderId="3" xfId="0" applyNumberFormat="1" applyFont="1" applyFill="1" applyBorder="1" applyAlignment="1">
      <alignment horizontal="center"/>
    </xf>
    <xf numFmtId="0" fontId="1" fillId="153" borderId="3" xfId="0" applyFont="1" applyFill="1" applyBorder="1" applyAlignment="1">
      <alignment horizontal="center"/>
    </xf>
    <xf numFmtId="10" fontId="1" fillId="67" borderId="3" xfId="0" applyNumberFormat="1" applyFont="1" applyFill="1" applyBorder="1" applyAlignment="1">
      <alignment horizontal="center"/>
    </xf>
    <xf numFmtId="0" fontId="1" fillId="131" borderId="3" xfId="0" applyFont="1" applyFill="1" applyBorder="1" applyAlignment="1">
      <alignment horizontal="center"/>
    </xf>
    <xf numFmtId="10" fontId="1" fillId="152" borderId="3" xfId="0" applyNumberFormat="1" applyFont="1" applyFill="1" applyBorder="1" applyAlignment="1">
      <alignment horizontal="center"/>
    </xf>
    <xf numFmtId="10" fontId="1" fillId="97" borderId="3" xfId="0" applyNumberFormat="1" applyFont="1" applyFill="1" applyBorder="1" applyAlignment="1">
      <alignment horizontal="center"/>
    </xf>
    <xf numFmtId="10" fontId="1" fillId="29" borderId="3" xfId="0" applyNumberFormat="1" applyFont="1" applyFill="1" applyBorder="1" applyAlignment="1">
      <alignment horizontal="center"/>
    </xf>
    <xf numFmtId="0" fontId="1" fillId="154" borderId="3" xfId="0" applyFont="1" applyFill="1" applyBorder="1" applyAlignment="1">
      <alignment horizontal="center"/>
    </xf>
    <xf numFmtId="0" fontId="1" fillId="150" borderId="3" xfId="0" applyFont="1" applyFill="1" applyBorder="1" applyAlignment="1">
      <alignment horizontal="center"/>
    </xf>
    <xf numFmtId="10" fontId="1" fillId="148" borderId="3" xfId="0" applyNumberFormat="1" applyFont="1" applyFill="1" applyBorder="1" applyAlignment="1">
      <alignment horizontal="center"/>
    </xf>
    <xf numFmtId="0" fontId="1" fillId="155" borderId="3" xfId="0" applyFont="1" applyFill="1" applyBorder="1" applyAlignment="1">
      <alignment horizontal="center"/>
    </xf>
    <xf numFmtId="0" fontId="1" fillId="156" borderId="3" xfId="0" applyFont="1" applyFill="1" applyBorder="1" applyAlignment="1">
      <alignment horizontal="center"/>
    </xf>
    <xf numFmtId="10" fontId="1" fillId="136" borderId="3" xfId="0" applyNumberFormat="1" applyFont="1" applyFill="1" applyBorder="1" applyAlignment="1">
      <alignment horizontal="center"/>
    </xf>
    <xf numFmtId="0" fontId="1" fillId="144" borderId="3" xfId="0" applyFont="1" applyFill="1" applyBorder="1" applyAlignment="1">
      <alignment horizontal="center"/>
    </xf>
    <xf numFmtId="10" fontId="1" fillId="105" borderId="3" xfId="0" applyNumberFormat="1" applyFont="1" applyFill="1" applyBorder="1" applyAlignment="1">
      <alignment horizontal="center"/>
    </xf>
    <xf numFmtId="10" fontId="1" fillId="151" borderId="3" xfId="0" applyNumberFormat="1" applyFont="1" applyFill="1" applyBorder="1" applyAlignment="1">
      <alignment horizontal="center"/>
    </xf>
    <xf numFmtId="10" fontId="1" fillId="102" borderId="3" xfId="0" applyNumberFormat="1" applyFont="1" applyFill="1" applyBorder="1" applyAlignment="1">
      <alignment horizontal="center"/>
    </xf>
    <xf numFmtId="0" fontId="1" fillId="157" borderId="3" xfId="0" applyFont="1" applyFill="1" applyBorder="1" applyAlignment="1">
      <alignment horizontal="center"/>
    </xf>
    <xf numFmtId="10" fontId="1" fillId="153" borderId="3" xfId="0" applyNumberFormat="1" applyFont="1" applyFill="1" applyBorder="1" applyAlignment="1">
      <alignment horizontal="center"/>
    </xf>
    <xf numFmtId="0" fontId="1" fillId="127" borderId="3" xfId="0" applyFont="1" applyFill="1" applyBorder="1" applyAlignment="1">
      <alignment horizontal="center"/>
    </xf>
    <xf numFmtId="0" fontId="1" fillId="158" borderId="3" xfId="0" applyFont="1" applyFill="1" applyBorder="1" applyAlignment="1">
      <alignment horizontal="center"/>
    </xf>
    <xf numFmtId="10" fontId="1" fillId="47" borderId="3" xfId="0" applyNumberFormat="1" applyFont="1" applyFill="1" applyBorder="1" applyAlignment="1">
      <alignment horizontal="center"/>
    </xf>
    <xf numFmtId="10" fontId="1" fillId="159" borderId="3" xfId="0" applyNumberFormat="1" applyFont="1" applyFill="1" applyBorder="1" applyAlignment="1">
      <alignment horizontal="center"/>
    </xf>
    <xf numFmtId="10" fontId="1" fillId="160" borderId="3" xfId="0" applyNumberFormat="1" applyFont="1" applyFill="1" applyBorder="1" applyAlignment="1">
      <alignment horizontal="center"/>
    </xf>
    <xf numFmtId="10" fontId="1" fillId="49" borderId="3" xfId="0" applyNumberFormat="1" applyFont="1" applyFill="1" applyBorder="1" applyAlignment="1">
      <alignment horizontal="center"/>
    </xf>
    <xf numFmtId="10" fontId="1" fillId="110" borderId="3" xfId="0" applyNumberFormat="1" applyFont="1" applyFill="1" applyBorder="1" applyAlignment="1">
      <alignment horizontal="center"/>
    </xf>
    <xf numFmtId="0" fontId="1" fillId="161" borderId="3" xfId="0" applyFont="1" applyFill="1" applyBorder="1" applyAlignment="1">
      <alignment horizontal="center"/>
    </xf>
    <xf numFmtId="10" fontId="1" fillId="51" borderId="3" xfId="0" applyNumberFormat="1" applyFont="1" applyFill="1" applyBorder="1" applyAlignment="1">
      <alignment horizontal="center"/>
    </xf>
    <xf numFmtId="0" fontId="1" fillId="162" borderId="3" xfId="0" applyFont="1" applyFill="1" applyBorder="1" applyAlignment="1">
      <alignment horizontal="center"/>
    </xf>
    <xf numFmtId="10" fontId="1" fillId="142" borderId="3" xfId="0" applyNumberFormat="1" applyFont="1" applyFill="1" applyBorder="1" applyAlignment="1">
      <alignment horizontal="center"/>
    </xf>
    <xf numFmtId="10" fontId="1" fillId="68" borderId="3" xfId="0" applyNumberFormat="1" applyFont="1" applyFill="1" applyBorder="1" applyAlignment="1">
      <alignment horizontal="center"/>
    </xf>
    <xf numFmtId="0" fontId="1" fillId="163" borderId="3" xfId="0" applyFont="1" applyFill="1" applyBorder="1" applyAlignment="1">
      <alignment horizontal="center"/>
    </xf>
    <xf numFmtId="10" fontId="1" fillId="124" borderId="3" xfId="0" applyNumberFormat="1" applyFont="1" applyFill="1" applyBorder="1" applyAlignment="1">
      <alignment horizontal="center"/>
    </xf>
    <xf numFmtId="0" fontId="1" fillId="133" borderId="3" xfId="0" applyFont="1" applyFill="1" applyBorder="1" applyAlignment="1">
      <alignment horizontal="center"/>
    </xf>
    <xf numFmtId="10" fontId="1" fillId="158" borderId="3" xfId="0" applyNumberFormat="1" applyFont="1" applyFill="1" applyBorder="1" applyAlignment="1">
      <alignment horizontal="center"/>
    </xf>
    <xf numFmtId="0" fontId="15" fillId="164" borderId="3" xfId="0" applyFont="1" applyFill="1" applyBorder="1" applyAlignment="1">
      <alignment horizontal="center" vertical="center"/>
    </xf>
    <xf numFmtId="0" fontId="1" fillId="165" borderId="3" xfId="0" applyFont="1" applyFill="1" applyBorder="1" applyAlignment="1">
      <alignment horizontal="center"/>
    </xf>
    <xf numFmtId="10" fontId="1" fillId="143" borderId="3" xfId="0" applyNumberFormat="1" applyFont="1" applyFill="1" applyBorder="1" applyAlignment="1">
      <alignment horizontal="center"/>
    </xf>
    <xf numFmtId="10" fontId="1" fillId="128" borderId="3" xfId="0" applyNumberFormat="1" applyFont="1" applyFill="1" applyBorder="1" applyAlignment="1">
      <alignment horizontal="center"/>
    </xf>
    <xf numFmtId="0" fontId="1" fillId="166" borderId="3" xfId="0" applyFont="1" applyFill="1" applyBorder="1" applyAlignment="1">
      <alignment horizontal="center"/>
    </xf>
    <xf numFmtId="10" fontId="1" fillId="157" borderId="3" xfId="0" applyNumberFormat="1" applyFont="1" applyFill="1" applyBorder="1" applyAlignment="1">
      <alignment horizontal="center"/>
    </xf>
    <xf numFmtId="10" fontId="1" fillId="125" borderId="3" xfId="0" applyNumberFormat="1" applyFont="1" applyFill="1" applyBorder="1" applyAlignment="1">
      <alignment horizontal="center"/>
    </xf>
    <xf numFmtId="10" fontId="1" fillId="167" borderId="3" xfId="0" applyNumberFormat="1" applyFont="1" applyFill="1" applyBorder="1" applyAlignment="1">
      <alignment horizontal="center"/>
    </xf>
    <xf numFmtId="0" fontId="1" fillId="168" borderId="3" xfId="0" applyFont="1" applyFill="1" applyBorder="1" applyAlignment="1">
      <alignment horizontal="center"/>
    </xf>
    <xf numFmtId="10" fontId="1" fillId="147" borderId="3" xfId="0" applyNumberFormat="1" applyFont="1" applyFill="1" applyBorder="1" applyAlignment="1">
      <alignment horizontal="center"/>
    </xf>
    <xf numFmtId="10" fontId="1" fillId="169" borderId="3" xfId="0" applyNumberFormat="1" applyFont="1" applyFill="1" applyBorder="1" applyAlignment="1">
      <alignment horizontal="center"/>
    </xf>
    <xf numFmtId="10" fontId="1" fillId="137" borderId="3" xfId="0" applyNumberFormat="1" applyFont="1" applyFill="1" applyBorder="1" applyAlignment="1">
      <alignment horizontal="center"/>
    </xf>
    <xf numFmtId="10" fontId="1" fillId="162" borderId="3" xfId="0" applyNumberFormat="1" applyFont="1" applyFill="1" applyBorder="1" applyAlignment="1">
      <alignment horizontal="center"/>
    </xf>
    <xf numFmtId="10" fontId="1" fillId="170" borderId="3" xfId="0" applyNumberFormat="1" applyFont="1" applyFill="1" applyBorder="1" applyAlignment="1">
      <alignment horizontal="center"/>
    </xf>
    <xf numFmtId="10" fontId="1" fillId="149" borderId="3" xfId="0" applyNumberFormat="1" applyFont="1" applyFill="1" applyBorder="1" applyAlignment="1">
      <alignment horizontal="center"/>
    </xf>
    <xf numFmtId="10" fontId="1" fillId="171" borderId="3" xfId="0" applyNumberFormat="1" applyFont="1" applyFill="1" applyBorder="1" applyAlignment="1">
      <alignment horizontal="center"/>
    </xf>
    <xf numFmtId="0" fontId="1" fillId="172" borderId="3" xfId="0" applyFont="1" applyFill="1" applyBorder="1" applyAlignment="1">
      <alignment horizontal="center"/>
    </xf>
    <xf numFmtId="10" fontId="1" fillId="173" borderId="3" xfId="0" applyNumberFormat="1" applyFont="1" applyFill="1" applyBorder="1" applyAlignment="1">
      <alignment horizontal="center"/>
    </xf>
    <xf numFmtId="10" fontId="1" fillId="174" borderId="3" xfId="0" applyNumberFormat="1" applyFont="1" applyFill="1" applyBorder="1" applyAlignment="1">
      <alignment horizontal="center"/>
    </xf>
    <xf numFmtId="10" fontId="1" fillId="163" borderId="3" xfId="0" applyNumberFormat="1" applyFont="1" applyFill="1" applyBorder="1" applyAlignment="1">
      <alignment horizontal="center"/>
    </xf>
    <xf numFmtId="0" fontId="1" fillId="175" borderId="3" xfId="0" applyFont="1" applyFill="1" applyBorder="1" applyAlignment="1">
      <alignment horizontal="center"/>
    </xf>
    <xf numFmtId="10" fontId="1" fillId="176" borderId="3" xfId="0" applyNumberFormat="1" applyFont="1" applyFill="1" applyBorder="1" applyAlignment="1">
      <alignment horizontal="center"/>
    </xf>
    <xf numFmtId="0" fontId="1" fillId="177" borderId="3" xfId="0" applyFont="1" applyFill="1" applyBorder="1" applyAlignment="1">
      <alignment horizontal="center"/>
    </xf>
    <xf numFmtId="10" fontId="1" fillId="166" borderId="3" xfId="0" applyNumberFormat="1" applyFont="1" applyFill="1" applyBorder="1" applyAlignment="1">
      <alignment horizontal="center"/>
    </xf>
    <xf numFmtId="0" fontId="1" fillId="178" borderId="3" xfId="0" applyFont="1" applyFill="1" applyBorder="1" applyAlignment="1">
      <alignment horizontal="center"/>
    </xf>
    <xf numFmtId="10" fontId="1" fillId="179" borderId="3" xfId="0" applyNumberFormat="1" applyFont="1" applyFill="1" applyBorder="1" applyAlignment="1">
      <alignment horizontal="center"/>
    </xf>
    <xf numFmtId="0" fontId="1" fillId="180" borderId="3" xfId="0" applyFont="1" applyFill="1" applyBorder="1" applyAlignment="1">
      <alignment horizontal="center"/>
    </xf>
    <xf numFmtId="0" fontId="1" fillId="170" borderId="3" xfId="0" applyFont="1" applyFill="1" applyBorder="1" applyAlignment="1">
      <alignment horizontal="center"/>
    </xf>
    <xf numFmtId="10" fontId="1" fillId="181" borderId="3" xfId="0" applyNumberFormat="1" applyFont="1" applyFill="1" applyBorder="1" applyAlignment="1">
      <alignment horizontal="center"/>
    </xf>
    <xf numFmtId="0" fontId="1" fillId="159" borderId="3" xfId="0" applyFont="1" applyFill="1" applyBorder="1" applyAlignment="1">
      <alignment horizontal="center"/>
    </xf>
    <xf numFmtId="10" fontId="1" fillId="182" borderId="3" xfId="0" applyNumberFormat="1" applyFont="1" applyFill="1" applyBorder="1" applyAlignment="1">
      <alignment horizontal="center"/>
    </xf>
    <xf numFmtId="0" fontId="1" fillId="181" borderId="3" xfId="0" applyFont="1" applyFill="1" applyBorder="1" applyAlignment="1">
      <alignment horizontal="center"/>
    </xf>
    <xf numFmtId="10" fontId="1" fillId="183" borderId="3" xfId="0" applyNumberFormat="1" applyFont="1" applyFill="1" applyBorder="1" applyAlignment="1">
      <alignment horizontal="center"/>
    </xf>
    <xf numFmtId="10" fontId="1" fillId="184" borderId="3" xfId="0" applyNumberFormat="1" applyFont="1" applyFill="1" applyBorder="1" applyAlignment="1">
      <alignment horizontal="center"/>
    </xf>
    <xf numFmtId="0" fontId="1" fillId="171" borderId="3" xfId="0" applyFont="1" applyFill="1" applyBorder="1" applyAlignment="1">
      <alignment horizontal="center"/>
    </xf>
    <xf numFmtId="0" fontId="1" fillId="185" borderId="3" xfId="0" applyFont="1" applyFill="1" applyBorder="1" applyAlignment="1">
      <alignment horizontal="center"/>
    </xf>
    <xf numFmtId="10" fontId="1" fillId="186" borderId="3" xfId="0" applyNumberFormat="1" applyFont="1" applyFill="1" applyBorder="1" applyAlignment="1">
      <alignment horizontal="center"/>
    </xf>
    <xf numFmtId="0" fontId="1" fillId="187" borderId="3" xfId="0" applyFont="1" applyFill="1" applyBorder="1" applyAlignment="1">
      <alignment horizontal="center"/>
    </xf>
    <xf numFmtId="10" fontId="1" fillId="188" borderId="3" xfId="0" applyNumberFormat="1" applyFont="1" applyFill="1" applyBorder="1" applyAlignment="1">
      <alignment horizontal="center"/>
    </xf>
    <xf numFmtId="10" fontId="1" fillId="189" borderId="3" xfId="0" applyNumberFormat="1" applyFont="1" applyFill="1" applyBorder="1" applyAlignment="1">
      <alignment horizontal="center"/>
    </xf>
    <xf numFmtId="0" fontId="1" fillId="190" borderId="3" xfId="0" applyFont="1" applyFill="1" applyBorder="1" applyAlignment="1">
      <alignment horizontal="center"/>
    </xf>
    <xf numFmtId="10" fontId="1" fillId="180" borderId="3" xfId="0" applyNumberFormat="1" applyFont="1" applyFill="1" applyBorder="1" applyAlignment="1">
      <alignment horizontal="center"/>
    </xf>
    <xf numFmtId="10" fontId="1" fillId="191" borderId="3" xfId="0" applyNumberFormat="1" applyFont="1" applyFill="1" applyBorder="1" applyAlignment="1">
      <alignment horizontal="center"/>
    </xf>
    <xf numFmtId="0" fontId="1" fillId="192" borderId="3" xfId="0" applyFont="1" applyFill="1" applyBorder="1" applyAlignment="1">
      <alignment horizontal="center"/>
    </xf>
    <xf numFmtId="10" fontId="1" fillId="177" borderId="3" xfId="0" applyNumberFormat="1" applyFont="1" applyFill="1" applyBorder="1" applyAlignment="1">
      <alignment horizontal="center"/>
    </xf>
    <xf numFmtId="10" fontId="1" fillId="190" borderId="3" xfId="0" applyNumberFormat="1" applyFont="1" applyFill="1" applyBorder="1" applyAlignment="1">
      <alignment horizontal="center"/>
    </xf>
    <xf numFmtId="0" fontId="1" fillId="193" borderId="3" xfId="0" applyFont="1" applyFill="1" applyBorder="1" applyAlignment="1">
      <alignment horizontal="center"/>
    </xf>
    <xf numFmtId="10" fontId="1" fillId="194" borderId="3" xfId="0" applyNumberFormat="1" applyFont="1" applyFill="1" applyBorder="1" applyAlignment="1">
      <alignment horizontal="center"/>
    </xf>
    <xf numFmtId="10" fontId="1" fillId="195" borderId="3" xfId="0" applyNumberFormat="1" applyFont="1" applyFill="1" applyBorder="1" applyAlignment="1">
      <alignment horizontal="center"/>
    </xf>
    <xf numFmtId="10" fontId="1" fillId="196" borderId="3" xfId="0" applyNumberFormat="1" applyFont="1" applyFill="1" applyBorder="1" applyAlignment="1">
      <alignment horizontal="center"/>
    </xf>
    <xf numFmtId="0" fontId="1" fillId="197" borderId="3" xfId="0" applyFont="1" applyFill="1" applyBorder="1" applyAlignment="1">
      <alignment horizontal="center"/>
    </xf>
    <xf numFmtId="10" fontId="1" fillId="198" borderId="3" xfId="0" applyNumberFormat="1" applyFont="1" applyFill="1" applyBorder="1" applyAlignment="1">
      <alignment horizontal="center"/>
    </xf>
    <xf numFmtId="10" fontId="1" fillId="193" borderId="3" xfId="0" applyNumberFormat="1" applyFont="1" applyFill="1" applyBorder="1" applyAlignment="1">
      <alignment horizontal="center"/>
    </xf>
    <xf numFmtId="10" fontId="1" fillId="172" borderId="3" xfId="0" applyNumberFormat="1" applyFont="1" applyFill="1" applyBorder="1" applyAlignment="1">
      <alignment horizontal="center"/>
    </xf>
    <xf numFmtId="10" fontId="1" fillId="199" borderId="3" xfId="0" applyNumberFormat="1" applyFont="1" applyFill="1" applyBorder="1" applyAlignment="1">
      <alignment horizontal="center"/>
    </xf>
    <xf numFmtId="10" fontId="1" fillId="200" borderId="3" xfId="0" applyNumberFormat="1" applyFont="1" applyFill="1" applyBorder="1" applyAlignment="1">
      <alignment horizontal="center"/>
    </xf>
    <xf numFmtId="0" fontId="1" fillId="160" borderId="3" xfId="0" applyFont="1" applyFill="1" applyBorder="1" applyAlignment="1">
      <alignment horizontal="center"/>
    </xf>
    <xf numFmtId="10" fontId="1" fillId="201" borderId="3" xfId="0" applyNumberFormat="1" applyFont="1" applyFill="1" applyBorder="1" applyAlignment="1">
      <alignment horizontal="center"/>
    </xf>
    <xf numFmtId="10" fontId="1" fillId="202" borderId="3" xfId="0" applyNumberFormat="1" applyFont="1" applyFill="1" applyBorder="1" applyAlignment="1">
      <alignment horizontal="center"/>
    </xf>
    <xf numFmtId="10" fontId="1" fillId="203" borderId="3" xfId="0" applyNumberFormat="1" applyFont="1" applyFill="1" applyBorder="1" applyAlignment="1">
      <alignment horizontal="center"/>
    </xf>
    <xf numFmtId="0" fontId="1" fillId="204" borderId="3" xfId="0" applyFont="1" applyFill="1" applyBorder="1" applyAlignment="1">
      <alignment horizontal="center"/>
    </xf>
    <xf numFmtId="10" fontId="1" fillId="192" borderId="3" xfId="0" applyNumberFormat="1" applyFont="1" applyFill="1" applyBorder="1" applyAlignment="1">
      <alignment horizontal="center"/>
    </xf>
    <xf numFmtId="0" fontId="1" fillId="205" borderId="3" xfId="0" applyFont="1" applyFill="1" applyBorder="1" applyAlignment="1">
      <alignment horizontal="center"/>
    </xf>
    <xf numFmtId="10" fontId="1" fillId="206" borderId="3" xfId="0" applyNumberFormat="1" applyFont="1" applyFill="1" applyBorder="1" applyAlignment="1">
      <alignment horizontal="center"/>
    </xf>
    <xf numFmtId="0" fontId="1" fillId="194" borderId="3" xfId="0" applyFont="1" applyFill="1" applyBorder="1" applyAlignment="1">
      <alignment horizontal="center"/>
    </xf>
    <xf numFmtId="10" fontId="1" fillId="207" borderId="3" xfId="0" applyNumberFormat="1" applyFont="1" applyFill="1" applyBorder="1" applyAlignment="1">
      <alignment horizontal="center"/>
    </xf>
    <xf numFmtId="0" fontId="1" fillId="208" borderId="3" xfId="0" applyFont="1" applyFill="1" applyBorder="1" applyAlignment="1">
      <alignment horizontal="center"/>
    </xf>
    <xf numFmtId="10" fontId="1" fillId="209" borderId="3" xfId="0" applyNumberFormat="1" applyFont="1" applyFill="1" applyBorder="1" applyAlignment="1">
      <alignment horizontal="center"/>
    </xf>
    <xf numFmtId="10" fontId="1" fillId="210" borderId="3" xfId="0" applyNumberFormat="1" applyFont="1" applyFill="1" applyBorder="1" applyAlignment="1">
      <alignment horizontal="center"/>
    </xf>
    <xf numFmtId="10" fontId="1" fillId="211" borderId="3" xfId="0" applyNumberFormat="1" applyFont="1" applyFill="1" applyBorder="1" applyAlignment="1">
      <alignment horizontal="center"/>
    </xf>
    <xf numFmtId="10" fontId="1" fillId="212" borderId="3" xfId="0" applyNumberFormat="1" applyFont="1" applyFill="1" applyBorder="1" applyAlignment="1">
      <alignment horizontal="center"/>
    </xf>
    <xf numFmtId="0" fontId="1" fillId="173" borderId="3" xfId="0" applyFont="1" applyFill="1" applyBorder="1" applyAlignment="1">
      <alignment horizontal="center"/>
    </xf>
    <xf numFmtId="10" fontId="1" fillId="213" borderId="3" xfId="0" applyNumberFormat="1" applyFont="1" applyFill="1" applyBorder="1" applyAlignment="1">
      <alignment horizontal="center"/>
    </xf>
    <xf numFmtId="10" fontId="1" fillId="214" borderId="3" xfId="0" applyNumberFormat="1" applyFont="1" applyFill="1" applyBorder="1" applyAlignment="1">
      <alignment horizontal="center"/>
    </xf>
    <xf numFmtId="10" fontId="1" fillId="215" borderId="3" xfId="0" applyNumberFormat="1" applyFont="1" applyFill="1" applyBorder="1" applyAlignment="1">
      <alignment horizontal="center"/>
    </xf>
    <xf numFmtId="10" fontId="1" fillId="216" borderId="3" xfId="0" applyNumberFormat="1" applyFont="1" applyFill="1" applyBorder="1" applyAlignment="1">
      <alignment horizontal="center"/>
    </xf>
    <xf numFmtId="0" fontId="1" fillId="217" borderId="3" xfId="0" applyFont="1" applyFill="1" applyBorder="1" applyAlignment="1">
      <alignment horizontal="center"/>
    </xf>
    <xf numFmtId="10" fontId="1" fillId="218" borderId="3" xfId="0" applyNumberFormat="1" applyFont="1" applyFill="1" applyBorder="1" applyAlignment="1">
      <alignment horizontal="center"/>
    </xf>
    <xf numFmtId="0" fontId="1" fillId="212" borderId="3" xfId="0" applyFont="1" applyFill="1" applyBorder="1" applyAlignment="1">
      <alignment horizontal="center"/>
    </xf>
    <xf numFmtId="10" fontId="1" fillId="219" borderId="3" xfId="0" applyNumberFormat="1" applyFont="1" applyFill="1" applyBorder="1" applyAlignment="1">
      <alignment horizontal="center"/>
    </xf>
    <xf numFmtId="0" fontId="1" fillId="220" borderId="3" xfId="0" applyFont="1" applyFill="1" applyBorder="1" applyAlignment="1">
      <alignment horizontal="center"/>
    </xf>
    <xf numFmtId="10" fontId="1" fillId="217" borderId="3" xfId="0" applyNumberFormat="1" applyFont="1" applyFill="1" applyBorder="1" applyAlignment="1">
      <alignment horizontal="center"/>
    </xf>
    <xf numFmtId="10" fontId="1" fillId="221" borderId="3" xfId="0" applyNumberFormat="1" applyFont="1" applyFill="1" applyBorder="1" applyAlignment="1">
      <alignment horizontal="center"/>
    </xf>
    <xf numFmtId="10" fontId="1" fillId="222" borderId="3" xfId="0" applyNumberFormat="1" applyFont="1" applyFill="1" applyBorder="1" applyAlignment="1">
      <alignment horizontal="center"/>
    </xf>
    <xf numFmtId="10" fontId="1" fillId="205" borderId="3" xfId="0" applyNumberFormat="1" applyFont="1" applyFill="1" applyBorder="1" applyAlignment="1">
      <alignment horizontal="center"/>
    </xf>
    <xf numFmtId="0" fontId="1" fillId="223" borderId="3" xfId="0" applyFont="1" applyFill="1" applyBorder="1" applyAlignment="1">
      <alignment horizontal="center"/>
    </xf>
    <xf numFmtId="10" fontId="1" fillId="224" borderId="3" xfId="0" applyNumberFormat="1" applyFont="1" applyFill="1" applyBorder="1" applyAlignment="1">
      <alignment horizontal="center"/>
    </xf>
    <xf numFmtId="0" fontId="1" fillId="203" borderId="3" xfId="0" applyFont="1" applyFill="1" applyBorder="1" applyAlignment="1">
      <alignment horizontal="center"/>
    </xf>
    <xf numFmtId="10" fontId="1" fillId="223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/>
    <xf numFmtId="0" fontId="9" fillId="4" borderId="3" xfId="0" applyFont="1" applyFill="1" applyBorder="1" applyAlignment="1">
      <alignment horizontal="center" vertical="center"/>
    </xf>
    <xf numFmtId="10" fontId="11" fillId="7" borderId="3" xfId="0" applyNumberFormat="1" applyFont="1" applyFill="1" applyBorder="1" applyAlignment="1">
      <alignment horizontal="center" vertical="center"/>
    </xf>
    <xf numFmtId="10" fontId="8" fillId="7" borderId="3" xfId="0" applyNumberFormat="1" applyFont="1" applyFill="1" applyBorder="1" applyAlignment="1">
      <alignment horizontal="center" vertical="center"/>
    </xf>
    <xf numFmtId="9" fontId="8" fillId="7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15" fillId="225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/>
    </xf>
    <xf numFmtId="0" fontId="15" fillId="225" borderId="3" xfId="0" applyFont="1" applyFill="1" applyBorder="1" applyAlignment="1">
      <alignment horizontal="center" vertical="center" wrapText="1"/>
    </xf>
    <xf numFmtId="0" fontId="17" fillId="0" borderId="0" xfId="0" applyFont="1"/>
    <xf numFmtId="10" fontId="1" fillId="226" borderId="3" xfId="0" applyNumberFormat="1" applyFont="1" applyFill="1" applyBorder="1" applyAlignment="1">
      <alignment horizontal="center"/>
    </xf>
    <xf numFmtId="10" fontId="1" fillId="227" borderId="3" xfId="0" applyNumberFormat="1" applyFont="1" applyFill="1" applyBorder="1" applyAlignment="1">
      <alignment horizontal="center"/>
    </xf>
    <xf numFmtId="10" fontId="1" fillId="228" borderId="3" xfId="0" applyNumberFormat="1" applyFont="1" applyFill="1" applyBorder="1" applyAlignment="1">
      <alignment horizontal="center"/>
    </xf>
    <xf numFmtId="10" fontId="1" fillId="229" borderId="3" xfId="0" applyNumberFormat="1" applyFont="1" applyFill="1" applyBorder="1" applyAlignment="1">
      <alignment horizontal="center"/>
    </xf>
    <xf numFmtId="0" fontId="1" fillId="195" borderId="3" xfId="0" applyFont="1" applyFill="1" applyBorder="1" applyAlignment="1">
      <alignment horizontal="center"/>
    </xf>
    <xf numFmtId="0" fontId="1" fillId="230" borderId="3" xfId="0" applyFont="1" applyFill="1" applyBorder="1" applyAlignment="1">
      <alignment horizontal="center"/>
    </xf>
    <xf numFmtId="0" fontId="1" fillId="114" borderId="3" xfId="0" applyFont="1" applyFill="1" applyBorder="1" applyAlignment="1">
      <alignment horizontal="center"/>
    </xf>
    <xf numFmtId="0" fontId="1" fillId="184" borderId="3" xfId="0" applyFont="1" applyFill="1" applyBorder="1" applyAlignment="1">
      <alignment horizontal="center"/>
    </xf>
    <xf numFmtId="10" fontId="1" fillId="231" borderId="3" xfId="0" applyNumberFormat="1" applyFont="1" applyFill="1" applyBorder="1" applyAlignment="1">
      <alignment horizontal="center"/>
    </xf>
    <xf numFmtId="0" fontId="1" fillId="232" borderId="3" xfId="0" applyFont="1" applyFill="1" applyBorder="1" applyAlignment="1">
      <alignment horizontal="center"/>
    </xf>
    <xf numFmtId="10" fontId="1" fillId="233" borderId="3" xfId="0" applyNumberFormat="1" applyFont="1" applyFill="1" applyBorder="1" applyAlignment="1">
      <alignment horizontal="center"/>
    </xf>
    <xf numFmtId="10" fontId="1" fillId="234" borderId="3" xfId="0" applyNumberFormat="1" applyFont="1" applyFill="1" applyBorder="1" applyAlignment="1">
      <alignment horizontal="center"/>
    </xf>
    <xf numFmtId="10" fontId="1" fillId="235" borderId="3" xfId="0" applyNumberFormat="1" applyFont="1" applyFill="1" applyBorder="1" applyAlignment="1">
      <alignment horizontal="center"/>
    </xf>
    <xf numFmtId="10" fontId="1" fillId="236" borderId="3" xfId="0" applyNumberFormat="1" applyFont="1" applyFill="1" applyBorder="1" applyAlignment="1">
      <alignment horizontal="center"/>
    </xf>
    <xf numFmtId="10" fontId="1" fillId="237" borderId="3" xfId="0" applyNumberFormat="1" applyFont="1" applyFill="1" applyBorder="1" applyAlignment="1">
      <alignment horizontal="center"/>
    </xf>
    <xf numFmtId="0" fontId="1" fillId="199" borderId="3" xfId="0" applyFont="1" applyFill="1" applyBorder="1" applyAlignment="1">
      <alignment horizontal="center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3A8A-8706-4303-8D75-0D7B088A3B97}">
  <dimension ref="A1:U1239"/>
  <sheetViews>
    <sheetView topLeftCell="A956" workbookViewId="0">
      <selection activeCell="C983" sqref="C983"/>
    </sheetView>
  </sheetViews>
  <sheetFormatPr defaultRowHeight="14.4" x14ac:dyDescent="0.3"/>
  <cols>
    <col min="3" max="3" width="50.88671875" bestFit="1" customWidth="1"/>
  </cols>
  <sheetData>
    <row r="1" spans="1: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52"/>
      <c r="R1" s="52"/>
      <c r="S1" s="1"/>
      <c r="T1" s="1"/>
      <c r="U1" s="1"/>
    </row>
    <row r="2" spans="1:21" ht="23.4" x14ac:dyDescent="0.45">
      <c r="A2" s="1"/>
      <c r="B2" s="1"/>
      <c r="C2" s="53" t="s">
        <v>0</v>
      </c>
      <c r="D2" s="53"/>
      <c r="E2" s="53"/>
      <c r="F2" s="53"/>
      <c r="G2" s="53"/>
      <c r="H2" s="53"/>
      <c r="I2" s="53"/>
      <c r="J2" s="53"/>
      <c r="K2" s="53"/>
      <c r="L2" s="53"/>
      <c r="M2" s="2"/>
      <c r="N2" s="2"/>
      <c r="O2" s="2"/>
      <c r="P2" s="1"/>
      <c r="Q2" s="52"/>
      <c r="R2" s="52"/>
      <c r="S2" s="1"/>
      <c r="T2" s="1"/>
      <c r="U2" s="1"/>
    </row>
    <row r="3" spans="1:2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52"/>
      <c r="R3" s="52"/>
      <c r="S3" s="1"/>
      <c r="T3" s="1"/>
      <c r="U3" s="1"/>
    </row>
    <row r="4" spans="1:2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52"/>
      <c r="R4" s="52"/>
      <c r="S4" s="1"/>
      <c r="T4" s="1"/>
      <c r="U4" s="1"/>
    </row>
    <row r="5" spans="1:21" ht="15.6" x14ac:dyDescent="0.3">
      <c r="A5" s="1"/>
      <c r="B5" s="3"/>
      <c r="C5" s="4" t="s">
        <v>1</v>
      </c>
      <c r="D5" s="3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5" t="s">
        <v>2</v>
      </c>
      <c r="Q5" s="54"/>
      <c r="R5" s="52"/>
      <c r="S5" s="1"/>
      <c r="T5" s="1"/>
      <c r="U5" s="1"/>
    </row>
    <row r="6" spans="1:21" ht="15.6" x14ac:dyDescent="0.3">
      <c r="A6" s="1"/>
      <c r="B6" s="3"/>
      <c r="C6" s="6">
        <v>46174</v>
      </c>
      <c r="D6" s="3"/>
      <c r="E6" s="3"/>
      <c r="F6" s="3"/>
      <c r="G6" s="3"/>
      <c r="H6" s="3"/>
      <c r="I6" s="3"/>
      <c r="J6" s="3"/>
      <c r="K6" s="3"/>
      <c r="L6" s="1"/>
      <c r="M6" s="1"/>
      <c r="N6" s="1"/>
      <c r="O6" s="1"/>
      <c r="P6" s="7">
        <v>0.94</v>
      </c>
      <c r="Q6" s="54"/>
      <c r="R6" s="52"/>
      <c r="S6" s="1"/>
      <c r="T6" s="1"/>
      <c r="U6" s="1"/>
    </row>
    <row r="7" spans="1:21" ht="42" x14ac:dyDescent="0.3">
      <c r="A7" s="1"/>
      <c r="B7" s="55" t="s">
        <v>3</v>
      </c>
      <c r="C7" s="55" t="s">
        <v>4</v>
      </c>
      <c r="D7" s="8" t="s">
        <v>5</v>
      </c>
      <c r="E7" s="8" t="s">
        <v>6</v>
      </c>
      <c r="F7" s="9" t="s">
        <v>7</v>
      </c>
      <c r="G7" s="9" t="s">
        <v>8</v>
      </c>
      <c r="H7" s="9" t="s">
        <v>9</v>
      </c>
      <c r="I7" s="10" t="s">
        <v>10</v>
      </c>
      <c r="J7" s="10" t="s">
        <v>11</v>
      </c>
      <c r="K7" s="11" t="s">
        <v>12</v>
      </c>
      <c r="L7" s="10" t="s">
        <v>13</v>
      </c>
      <c r="M7" s="11" t="s">
        <v>14</v>
      </c>
      <c r="N7" s="12" t="s">
        <v>15</v>
      </c>
      <c r="O7" s="57" t="s">
        <v>16</v>
      </c>
      <c r="P7" s="57" t="s">
        <v>17</v>
      </c>
      <c r="Q7" s="54"/>
      <c r="R7" s="52"/>
      <c r="S7" s="1"/>
      <c r="T7" s="1"/>
      <c r="U7" s="1"/>
    </row>
    <row r="8" spans="1:21" x14ac:dyDescent="0.3">
      <c r="A8" s="1"/>
      <c r="B8" s="56"/>
      <c r="C8" s="56"/>
      <c r="D8" s="13" t="s">
        <v>18</v>
      </c>
      <c r="E8" s="13" t="s">
        <v>18</v>
      </c>
      <c r="F8" s="13" t="s">
        <v>18</v>
      </c>
      <c r="G8" s="13" t="s">
        <v>18</v>
      </c>
      <c r="H8" s="13" t="s">
        <v>18</v>
      </c>
      <c r="I8" s="13" t="s">
        <v>18</v>
      </c>
      <c r="J8" s="13" t="s">
        <v>18</v>
      </c>
      <c r="K8" s="13" t="s">
        <v>18</v>
      </c>
      <c r="L8" s="13" t="s">
        <v>18</v>
      </c>
      <c r="M8" s="13" t="s">
        <v>18</v>
      </c>
      <c r="N8" s="14" t="s">
        <v>19</v>
      </c>
      <c r="O8" s="58"/>
      <c r="P8" s="58"/>
      <c r="Q8" s="54"/>
      <c r="R8" s="52"/>
      <c r="S8" s="1"/>
      <c r="T8" s="1"/>
      <c r="U8" s="1"/>
    </row>
    <row r="9" spans="1:21" x14ac:dyDescent="0.3">
      <c r="A9" s="1"/>
      <c r="B9" s="59" t="s">
        <v>20</v>
      </c>
      <c r="C9" s="60"/>
      <c r="D9" s="16">
        <v>0.1</v>
      </c>
      <c r="E9" s="16">
        <v>0.05</v>
      </c>
      <c r="F9" s="16">
        <v>0.1</v>
      </c>
      <c r="G9" s="16">
        <v>0.1</v>
      </c>
      <c r="H9" s="16">
        <v>0.05</v>
      </c>
      <c r="I9" s="17">
        <v>0.1</v>
      </c>
      <c r="J9" s="17">
        <v>0.35</v>
      </c>
      <c r="K9" s="17">
        <v>0.08</v>
      </c>
      <c r="L9" s="17">
        <v>0.02</v>
      </c>
      <c r="M9" s="17">
        <v>0.05</v>
      </c>
      <c r="N9" s="19">
        <v>1</v>
      </c>
      <c r="O9" s="20"/>
      <c r="P9" s="22"/>
      <c r="Q9" s="54"/>
      <c r="R9" s="52"/>
      <c r="S9" s="1"/>
      <c r="T9" s="1"/>
      <c r="U9" s="1"/>
    </row>
    <row r="10" spans="1:21" ht="18" x14ac:dyDescent="0.3">
      <c r="A10" s="1"/>
      <c r="B10" s="23">
        <v>1</v>
      </c>
      <c r="C10" s="24" t="s">
        <v>21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0.99850000000000005</v>
      </c>
      <c r="J10" s="25">
        <v>1</v>
      </c>
      <c r="K10" s="25">
        <v>1</v>
      </c>
      <c r="L10" s="26">
        <v>0</v>
      </c>
      <c r="M10" s="26">
        <v>1</v>
      </c>
      <c r="N10" s="27">
        <v>0.97989999999999999</v>
      </c>
      <c r="O10" s="28">
        <v>0</v>
      </c>
      <c r="P10" s="27">
        <v>0.97989999999999999</v>
      </c>
      <c r="Q10" s="54"/>
      <c r="R10" s="52"/>
      <c r="S10" s="1"/>
      <c r="T10" s="1"/>
      <c r="U10" s="1"/>
    </row>
    <row r="11" spans="1:21" ht="18" x14ac:dyDescent="0.3">
      <c r="A11" s="1"/>
      <c r="B11" s="23">
        <v>2</v>
      </c>
      <c r="C11" s="29" t="s">
        <v>22</v>
      </c>
      <c r="D11" s="25">
        <v>0.98</v>
      </c>
      <c r="E11" s="25">
        <v>1</v>
      </c>
      <c r="F11" s="25">
        <v>1</v>
      </c>
      <c r="G11" s="25">
        <v>1</v>
      </c>
      <c r="H11" s="25">
        <v>1</v>
      </c>
      <c r="I11" s="25">
        <v>1</v>
      </c>
      <c r="J11" s="25">
        <v>0.8</v>
      </c>
      <c r="K11" s="25">
        <v>1</v>
      </c>
      <c r="L11" s="26">
        <v>1</v>
      </c>
      <c r="M11" s="26">
        <v>1</v>
      </c>
      <c r="N11" s="27">
        <v>0.92800000000000005</v>
      </c>
      <c r="O11" s="28">
        <v>0</v>
      </c>
      <c r="P11" s="27">
        <v>0.92800000000000005</v>
      </c>
      <c r="Q11" s="54"/>
      <c r="R11" s="52"/>
      <c r="S11" s="1"/>
      <c r="T11" s="1"/>
      <c r="U11" s="1"/>
    </row>
    <row r="12" spans="1:21" ht="18" x14ac:dyDescent="0.3">
      <c r="A12" s="1"/>
      <c r="B12" s="23">
        <v>3</v>
      </c>
      <c r="C12" s="24" t="s">
        <v>23</v>
      </c>
      <c r="D12" s="25">
        <v>1</v>
      </c>
      <c r="E12" s="25">
        <v>0.98</v>
      </c>
      <c r="F12" s="25">
        <v>1</v>
      </c>
      <c r="G12" s="25">
        <v>1</v>
      </c>
      <c r="H12" s="25">
        <v>1</v>
      </c>
      <c r="I12" s="25">
        <v>1</v>
      </c>
      <c r="J12" s="25">
        <v>1</v>
      </c>
      <c r="K12" s="25">
        <v>1</v>
      </c>
      <c r="L12" s="26">
        <v>0</v>
      </c>
      <c r="M12" s="26">
        <v>0.5</v>
      </c>
      <c r="N12" s="27">
        <v>0.95399999999999996</v>
      </c>
      <c r="O12" s="28">
        <v>0</v>
      </c>
      <c r="P12" s="27">
        <v>0.95399999999999996</v>
      </c>
      <c r="Q12" s="54"/>
      <c r="R12" s="52"/>
      <c r="S12" s="1"/>
      <c r="T12" s="1"/>
      <c r="U12" s="1"/>
    </row>
    <row r="13" spans="1:21" ht="18" x14ac:dyDescent="0.3">
      <c r="A13" s="1"/>
      <c r="B13" s="23">
        <v>4</v>
      </c>
      <c r="C13" s="24" t="s">
        <v>24</v>
      </c>
      <c r="D13" s="25">
        <v>1</v>
      </c>
      <c r="E13" s="25">
        <v>1</v>
      </c>
      <c r="F13" s="25">
        <v>1</v>
      </c>
      <c r="G13" s="25">
        <v>0.97760000000000002</v>
      </c>
      <c r="H13" s="25">
        <v>1</v>
      </c>
      <c r="I13" s="25">
        <v>0.98960000000000004</v>
      </c>
      <c r="J13" s="25">
        <v>0.8</v>
      </c>
      <c r="K13" s="25">
        <v>0.5</v>
      </c>
      <c r="L13" s="26">
        <v>0</v>
      </c>
      <c r="M13" s="26">
        <v>1</v>
      </c>
      <c r="N13" s="27">
        <v>0.86670000000000003</v>
      </c>
      <c r="O13" s="28">
        <v>0</v>
      </c>
      <c r="P13" s="27">
        <v>0.86670000000000003</v>
      </c>
      <c r="Q13" s="54"/>
      <c r="R13" s="52"/>
      <c r="S13" s="1"/>
      <c r="T13" s="1"/>
      <c r="U13" s="1"/>
    </row>
    <row r="14" spans="1:21" ht="18" x14ac:dyDescent="0.3">
      <c r="A14" s="1"/>
      <c r="B14" s="23">
        <v>5</v>
      </c>
      <c r="C14" s="29" t="s">
        <v>25</v>
      </c>
      <c r="D14" s="25">
        <v>0.98</v>
      </c>
      <c r="E14" s="25">
        <v>1</v>
      </c>
      <c r="F14" s="25">
        <v>1</v>
      </c>
      <c r="G14" s="25">
        <v>1</v>
      </c>
      <c r="H14" s="25">
        <v>1</v>
      </c>
      <c r="I14" s="25">
        <v>1</v>
      </c>
      <c r="J14" s="25">
        <v>1</v>
      </c>
      <c r="K14" s="25">
        <v>0.5</v>
      </c>
      <c r="L14" s="26">
        <v>0</v>
      </c>
      <c r="M14" s="26">
        <v>1</v>
      </c>
      <c r="N14" s="27">
        <v>0.93799999999999994</v>
      </c>
      <c r="O14" s="28">
        <v>0</v>
      </c>
      <c r="P14" s="27">
        <v>0.93799999999999994</v>
      </c>
      <c r="Q14" s="54"/>
      <c r="R14" s="52"/>
      <c r="S14" s="1"/>
      <c r="T14" s="1"/>
      <c r="U14" s="1"/>
    </row>
    <row r="15" spans="1:21" ht="18" x14ac:dyDescent="0.3">
      <c r="A15" s="1"/>
      <c r="B15" s="23">
        <v>6</v>
      </c>
      <c r="C15" s="30" t="s">
        <v>26</v>
      </c>
      <c r="D15" s="25">
        <v>1</v>
      </c>
      <c r="E15" s="25">
        <v>0.98</v>
      </c>
      <c r="F15" s="25">
        <v>1</v>
      </c>
      <c r="G15" s="25">
        <v>1</v>
      </c>
      <c r="H15" s="25">
        <v>1</v>
      </c>
      <c r="I15" s="25">
        <v>1</v>
      </c>
      <c r="J15" s="25">
        <v>1</v>
      </c>
      <c r="K15" s="25">
        <v>1</v>
      </c>
      <c r="L15" s="26">
        <v>1</v>
      </c>
      <c r="M15" s="26">
        <v>0</v>
      </c>
      <c r="N15" s="27">
        <v>0.99890000000000001</v>
      </c>
      <c r="O15" s="28">
        <v>0</v>
      </c>
      <c r="P15" s="27">
        <v>0.99890000000000001</v>
      </c>
      <c r="Q15" s="54"/>
      <c r="R15" s="52"/>
      <c r="S15" s="1"/>
      <c r="T15" s="1"/>
      <c r="U15" s="1"/>
    </row>
    <row r="16" spans="1:21" x14ac:dyDescent="0.3">
      <c r="A16" s="1"/>
      <c r="B16" s="59" t="s">
        <v>27</v>
      </c>
      <c r="C16" s="60"/>
      <c r="D16" s="31">
        <v>0.99</v>
      </c>
      <c r="E16" s="31">
        <v>0.99</v>
      </c>
      <c r="F16" s="31">
        <v>1</v>
      </c>
      <c r="G16" s="31">
        <v>1</v>
      </c>
      <c r="H16" s="31">
        <v>1</v>
      </c>
      <c r="I16" s="31">
        <v>1</v>
      </c>
      <c r="J16" s="31">
        <v>0.93</v>
      </c>
      <c r="K16" s="31">
        <v>0.83</v>
      </c>
      <c r="L16" s="31">
        <v>0.33</v>
      </c>
      <c r="M16" s="31">
        <v>0.75</v>
      </c>
      <c r="N16" s="31">
        <v>0.94</v>
      </c>
      <c r="O16" s="31">
        <v>0</v>
      </c>
      <c r="P16" s="31">
        <v>0.94</v>
      </c>
      <c r="Q16" s="54"/>
      <c r="R16" s="52"/>
      <c r="S16" s="1"/>
      <c r="T16" s="1"/>
      <c r="U16" s="1"/>
    </row>
    <row r="17" spans="1:2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52"/>
      <c r="R17" s="52"/>
      <c r="S17" s="1"/>
      <c r="T17" s="1"/>
      <c r="U17" s="1"/>
    </row>
    <row r="18" spans="1:2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52"/>
      <c r="R18" s="52"/>
      <c r="S18" s="1"/>
      <c r="T18" s="1"/>
      <c r="U18" s="1"/>
    </row>
    <row r="19" spans="1:2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52"/>
      <c r="R19" s="52"/>
      <c r="S19" s="1"/>
      <c r="T19" s="1"/>
      <c r="U19" s="1"/>
    </row>
    <row r="20" spans="1:21" ht="15.6" x14ac:dyDescent="0.3">
      <c r="A20" s="1"/>
      <c r="B20" s="3"/>
      <c r="C20" s="4" t="s">
        <v>28</v>
      </c>
      <c r="D20" s="3"/>
      <c r="E20" s="3"/>
      <c r="F20" s="3"/>
      <c r="G20" s="3"/>
      <c r="H20" s="3"/>
      <c r="I20" s="3"/>
      <c r="J20" s="3"/>
      <c r="K20" s="3"/>
      <c r="L20" s="1"/>
      <c r="M20" s="1"/>
      <c r="N20" s="1"/>
      <c r="O20" s="1"/>
      <c r="P20" s="5" t="s">
        <v>2</v>
      </c>
      <c r="Q20" s="54"/>
      <c r="R20" s="52"/>
      <c r="S20" s="1"/>
      <c r="T20" s="1"/>
      <c r="U20" s="1"/>
    </row>
    <row r="21" spans="1:21" ht="15.6" x14ac:dyDescent="0.3">
      <c r="A21" s="1"/>
      <c r="B21" s="3"/>
      <c r="C21" s="6">
        <v>46174</v>
      </c>
      <c r="D21" s="3"/>
      <c r="E21" s="3"/>
      <c r="F21" s="3"/>
      <c r="G21" s="3"/>
      <c r="H21" s="3"/>
      <c r="I21" s="3"/>
      <c r="J21" s="3"/>
      <c r="K21" s="3"/>
      <c r="L21" s="1"/>
      <c r="M21" s="1"/>
      <c r="N21" s="1"/>
      <c r="O21" s="1"/>
      <c r="P21" s="7">
        <v>0.96</v>
      </c>
      <c r="Q21" s="54"/>
      <c r="R21" s="52"/>
      <c r="S21" s="1"/>
      <c r="T21" s="1"/>
      <c r="U21" s="1"/>
    </row>
    <row r="22" spans="1:21" ht="42" x14ac:dyDescent="0.3">
      <c r="A22" s="1"/>
      <c r="B22" s="55" t="s">
        <v>3</v>
      </c>
      <c r="C22" s="55" t="s">
        <v>4</v>
      </c>
      <c r="D22" s="8" t="s">
        <v>5</v>
      </c>
      <c r="E22" s="8" t="s">
        <v>6</v>
      </c>
      <c r="F22" s="9" t="s">
        <v>7</v>
      </c>
      <c r="G22" s="9" t="s">
        <v>8</v>
      </c>
      <c r="H22" s="9" t="s">
        <v>9</v>
      </c>
      <c r="I22" s="10" t="s">
        <v>10</v>
      </c>
      <c r="J22" s="10" t="s">
        <v>11</v>
      </c>
      <c r="K22" s="11" t="s">
        <v>12</v>
      </c>
      <c r="L22" s="10" t="s">
        <v>13</v>
      </c>
      <c r="M22" s="11" t="s">
        <v>14</v>
      </c>
      <c r="N22" s="12" t="s">
        <v>15</v>
      </c>
      <c r="O22" s="57" t="s">
        <v>16</v>
      </c>
      <c r="P22" s="57" t="s">
        <v>17</v>
      </c>
      <c r="Q22" s="54"/>
      <c r="R22" s="52"/>
      <c r="S22" s="1"/>
      <c r="T22" s="1"/>
      <c r="U22" s="1"/>
    </row>
    <row r="23" spans="1:21" x14ac:dyDescent="0.3">
      <c r="A23" s="1"/>
      <c r="B23" s="56"/>
      <c r="C23" s="56"/>
      <c r="D23" s="13" t="s">
        <v>18</v>
      </c>
      <c r="E23" s="13" t="s">
        <v>18</v>
      </c>
      <c r="F23" s="13" t="s">
        <v>18</v>
      </c>
      <c r="G23" s="13" t="s">
        <v>18</v>
      </c>
      <c r="H23" s="13" t="s">
        <v>18</v>
      </c>
      <c r="I23" s="13" t="s">
        <v>18</v>
      </c>
      <c r="J23" s="13" t="s">
        <v>18</v>
      </c>
      <c r="K23" s="13" t="s">
        <v>18</v>
      </c>
      <c r="L23" s="13" t="s">
        <v>18</v>
      </c>
      <c r="M23" s="13" t="s">
        <v>18</v>
      </c>
      <c r="N23" s="14" t="s">
        <v>29</v>
      </c>
      <c r="O23" s="58"/>
      <c r="P23" s="58"/>
      <c r="Q23" s="54"/>
      <c r="R23" s="52"/>
      <c r="S23" s="1"/>
      <c r="T23" s="1"/>
      <c r="U23" s="1"/>
    </row>
    <row r="24" spans="1:21" x14ac:dyDescent="0.3">
      <c r="A24" s="1"/>
      <c r="B24" s="59" t="s">
        <v>20</v>
      </c>
      <c r="C24" s="60"/>
      <c r="D24" s="16">
        <v>0.1</v>
      </c>
      <c r="E24" s="16">
        <v>0.05</v>
      </c>
      <c r="F24" s="16">
        <v>0.1</v>
      </c>
      <c r="G24" s="16">
        <v>0.1</v>
      </c>
      <c r="H24" s="16">
        <v>0.05</v>
      </c>
      <c r="I24" s="17">
        <v>0.1</v>
      </c>
      <c r="J24" s="17">
        <v>0.35</v>
      </c>
      <c r="K24" s="17">
        <v>0.08</v>
      </c>
      <c r="L24" s="17">
        <v>0.02</v>
      </c>
      <c r="M24" s="17">
        <v>0.05</v>
      </c>
      <c r="N24" s="19">
        <v>1</v>
      </c>
      <c r="O24" s="20"/>
      <c r="P24" s="22"/>
      <c r="Q24" s="54"/>
      <c r="R24" s="52"/>
      <c r="S24" s="1"/>
      <c r="T24" s="1"/>
      <c r="U24" s="1"/>
    </row>
    <row r="25" spans="1:21" ht="18" x14ac:dyDescent="0.3">
      <c r="A25" s="1"/>
      <c r="B25" s="23">
        <v>1</v>
      </c>
      <c r="C25" s="24" t="s">
        <v>30</v>
      </c>
      <c r="D25" s="25">
        <v>1</v>
      </c>
      <c r="E25" s="25">
        <v>1</v>
      </c>
      <c r="F25" s="25">
        <v>1</v>
      </c>
      <c r="G25" s="25">
        <v>1</v>
      </c>
      <c r="H25" s="25">
        <v>1</v>
      </c>
      <c r="I25" s="25">
        <v>1</v>
      </c>
      <c r="J25" s="25">
        <v>1</v>
      </c>
      <c r="K25" s="25">
        <v>1</v>
      </c>
      <c r="L25" s="26">
        <v>1</v>
      </c>
      <c r="M25" s="26">
        <v>1</v>
      </c>
      <c r="N25" s="27">
        <v>1</v>
      </c>
      <c r="O25" s="28">
        <v>0</v>
      </c>
      <c r="P25" s="27">
        <v>1</v>
      </c>
      <c r="Q25" s="54"/>
      <c r="R25" s="52"/>
      <c r="S25" s="1"/>
      <c r="T25" s="1"/>
      <c r="U25" s="1"/>
    </row>
    <row r="26" spans="1:21" ht="18" x14ac:dyDescent="0.3">
      <c r="A26" s="1"/>
      <c r="B26" s="23">
        <v>2</v>
      </c>
      <c r="C26" s="24" t="s">
        <v>31</v>
      </c>
      <c r="D26" s="25">
        <v>1</v>
      </c>
      <c r="E26" s="25">
        <v>1</v>
      </c>
      <c r="F26" s="25">
        <v>1</v>
      </c>
      <c r="G26" s="25">
        <v>1</v>
      </c>
      <c r="H26" s="25">
        <v>1</v>
      </c>
      <c r="I26" s="25">
        <v>0.99139999999999995</v>
      </c>
      <c r="J26" s="25">
        <v>1</v>
      </c>
      <c r="K26" s="25">
        <v>1</v>
      </c>
      <c r="L26" s="26">
        <v>0</v>
      </c>
      <c r="M26" s="26">
        <v>1</v>
      </c>
      <c r="N26" s="27">
        <v>0.97909999999999997</v>
      </c>
      <c r="O26" s="28">
        <v>0</v>
      </c>
      <c r="P26" s="27">
        <v>0.97909999999999997</v>
      </c>
      <c r="Q26" s="54"/>
      <c r="R26" s="52"/>
      <c r="S26" s="1"/>
      <c r="T26" s="1"/>
      <c r="U26" s="1"/>
    </row>
    <row r="27" spans="1:21" ht="18" x14ac:dyDescent="0.3">
      <c r="A27" s="1"/>
      <c r="B27" s="23">
        <v>3</v>
      </c>
      <c r="C27" s="24" t="s">
        <v>32</v>
      </c>
      <c r="D27" s="25">
        <v>0.98</v>
      </c>
      <c r="E27" s="25">
        <v>1</v>
      </c>
      <c r="F27" s="25">
        <v>1</v>
      </c>
      <c r="G27" s="25">
        <v>1</v>
      </c>
      <c r="H27" s="25">
        <v>1</v>
      </c>
      <c r="I27" s="25">
        <v>0.99790000000000001</v>
      </c>
      <c r="J27" s="25">
        <v>0.8</v>
      </c>
      <c r="K27" s="25">
        <v>1</v>
      </c>
      <c r="L27" s="26">
        <v>0</v>
      </c>
      <c r="M27" s="26">
        <v>0.5</v>
      </c>
      <c r="N27" s="27">
        <v>0.88280000000000003</v>
      </c>
      <c r="O27" s="28">
        <v>0</v>
      </c>
      <c r="P27" s="27">
        <v>0.88280000000000003</v>
      </c>
      <c r="Q27" s="54"/>
      <c r="R27" s="52"/>
      <c r="S27" s="1"/>
      <c r="T27" s="1"/>
      <c r="U27" s="1"/>
    </row>
    <row r="28" spans="1:21" ht="18" x14ac:dyDescent="0.3">
      <c r="A28" s="1"/>
      <c r="B28" s="23">
        <v>4</v>
      </c>
      <c r="C28" s="24" t="s">
        <v>33</v>
      </c>
      <c r="D28" s="25">
        <v>1</v>
      </c>
      <c r="E28" s="25">
        <v>1</v>
      </c>
      <c r="F28" s="25">
        <v>1</v>
      </c>
      <c r="G28" s="25">
        <v>1</v>
      </c>
      <c r="H28" s="25">
        <v>1</v>
      </c>
      <c r="I28" s="25">
        <v>0.99790000000000001</v>
      </c>
      <c r="J28" s="25">
        <v>1</v>
      </c>
      <c r="K28" s="25">
        <v>1</v>
      </c>
      <c r="L28" s="26">
        <v>0</v>
      </c>
      <c r="M28" s="26">
        <v>1</v>
      </c>
      <c r="N28" s="27">
        <v>0.9798</v>
      </c>
      <c r="O28" s="28">
        <v>0</v>
      </c>
      <c r="P28" s="27">
        <v>0.9798</v>
      </c>
      <c r="Q28" s="54"/>
      <c r="R28" s="52"/>
      <c r="S28" s="1"/>
      <c r="T28" s="1"/>
      <c r="U28" s="1"/>
    </row>
    <row r="29" spans="1:21" ht="18" x14ac:dyDescent="0.3">
      <c r="A29" s="1"/>
      <c r="B29" s="23">
        <v>5</v>
      </c>
      <c r="C29" s="24" t="s">
        <v>34</v>
      </c>
      <c r="D29" s="25">
        <v>1</v>
      </c>
      <c r="E29" s="25">
        <v>0.99</v>
      </c>
      <c r="F29" s="25">
        <v>1</v>
      </c>
      <c r="G29" s="25">
        <v>1</v>
      </c>
      <c r="H29" s="25">
        <v>1</v>
      </c>
      <c r="I29" s="25">
        <v>0.99270000000000003</v>
      </c>
      <c r="J29" s="25">
        <v>1</v>
      </c>
      <c r="K29" s="25">
        <v>1</v>
      </c>
      <c r="L29" s="26">
        <v>0</v>
      </c>
      <c r="M29" s="26">
        <v>0.5</v>
      </c>
      <c r="N29" s="27">
        <v>0.95379999999999998</v>
      </c>
      <c r="O29" s="28">
        <v>0</v>
      </c>
      <c r="P29" s="27">
        <v>0.95379999999999998</v>
      </c>
      <c r="Q29" s="54"/>
      <c r="R29" s="52"/>
      <c r="S29" s="1"/>
      <c r="T29" s="1"/>
      <c r="U29" s="1"/>
    </row>
    <row r="30" spans="1:21" x14ac:dyDescent="0.3">
      <c r="A30" s="1"/>
      <c r="B30" s="59" t="s">
        <v>27</v>
      </c>
      <c r="C30" s="60"/>
      <c r="D30" s="31">
        <v>1</v>
      </c>
      <c r="E30" s="31">
        <v>1</v>
      </c>
      <c r="F30" s="31">
        <v>1</v>
      </c>
      <c r="G30" s="31">
        <v>1</v>
      </c>
      <c r="H30" s="31">
        <v>1</v>
      </c>
      <c r="I30" s="31">
        <v>1</v>
      </c>
      <c r="J30" s="31">
        <v>0.96</v>
      </c>
      <c r="K30" s="31">
        <v>1</v>
      </c>
      <c r="L30" s="31">
        <v>0.2</v>
      </c>
      <c r="M30" s="31">
        <v>0.8</v>
      </c>
      <c r="N30" s="31">
        <v>0.96</v>
      </c>
      <c r="O30" s="31">
        <v>0</v>
      </c>
      <c r="P30" s="31">
        <v>0.96</v>
      </c>
      <c r="Q30" s="54"/>
      <c r="R30" s="52"/>
      <c r="S30" s="1"/>
      <c r="T30" s="1"/>
      <c r="U30" s="1"/>
    </row>
    <row r="31" spans="1:2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52"/>
      <c r="R31" s="52"/>
      <c r="S31" s="1"/>
      <c r="T31" s="1"/>
      <c r="U31" s="1"/>
    </row>
    <row r="32" spans="1:2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52"/>
      <c r="R32" s="52"/>
      <c r="S32" s="1"/>
      <c r="T32" s="1"/>
      <c r="U32" s="1"/>
    </row>
    <row r="33" spans="1:21" ht="15.6" x14ac:dyDescent="0.3">
      <c r="A33" s="1"/>
      <c r="B33" s="3"/>
      <c r="C33" s="4" t="s">
        <v>35</v>
      </c>
      <c r="D33" s="3"/>
      <c r="E33" s="3"/>
      <c r="F33" s="3"/>
      <c r="G33" s="3"/>
      <c r="H33" s="3"/>
      <c r="I33" s="3"/>
      <c r="J33" s="3"/>
      <c r="K33" s="3"/>
      <c r="L33" s="1"/>
      <c r="M33" s="1"/>
      <c r="N33" s="1"/>
      <c r="O33" s="1"/>
      <c r="P33" s="5" t="s">
        <v>2</v>
      </c>
      <c r="Q33" s="54"/>
      <c r="R33" s="52"/>
      <c r="S33" s="1"/>
      <c r="T33" s="1"/>
      <c r="U33" s="1"/>
    </row>
    <row r="34" spans="1:21" ht="15.6" x14ac:dyDescent="0.3">
      <c r="A34" s="1"/>
      <c r="B34" s="3"/>
      <c r="C34" s="6">
        <v>46174</v>
      </c>
      <c r="D34" s="3"/>
      <c r="E34" s="3"/>
      <c r="F34" s="3"/>
      <c r="G34" s="3"/>
      <c r="H34" s="3"/>
      <c r="I34" s="3"/>
      <c r="J34" s="3"/>
      <c r="K34" s="3"/>
      <c r="L34" s="1"/>
      <c r="M34" s="1"/>
      <c r="N34" s="1"/>
      <c r="O34" s="1"/>
      <c r="P34" s="7">
        <v>0.9</v>
      </c>
      <c r="Q34" s="54"/>
      <c r="R34" s="52"/>
      <c r="S34" s="1"/>
      <c r="T34" s="1"/>
      <c r="U34" s="1"/>
    </row>
    <row r="35" spans="1:21" ht="42" x14ac:dyDescent="0.3">
      <c r="A35" s="1"/>
      <c r="B35" s="55" t="s">
        <v>3</v>
      </c>
      <c r="C35" s="55" t="s">
        <v>4</v>
      </c>
      <c r="D35" s="8" t="s">
        <v>5</v>
      </c>
      <c r="E35" s="8" t="s">
        <v>6</v>
      </c>
      <c r="F35" s="9" t="s">
        <v>7</v>
      </c>
      <c r="G35" s="9" t="s">
        <v>8</v>
      </c>
      <c r="H35" s="9" t="s">
        <v>9</v>
      </c>
      <c r="I35" s="10" t="s">
        <v>10</v>
      </c>
      <c r="J35" s="10" t="s">
        <v>11</v>
      </c>
      <c r="K35" s="11" t="s">
        <v>12</v>
      </c>
      <c r="L35" s="10" t="s">
        <v>13</v>
      </c>
      <c r="M35" s="11" t="s">
        <v>14</v>
      </c>
      <c r="N35" s="12" t="s">
        <v>15</v>
      </c>
      <c r="O35" s="57" t="s">
        <v>16</v>
      </c>
      <c r="P35" s="57" t="s">
        <v>17</v>
      </c>
      <c r="Q35" s="54"/>
      <c r="R35" s="52"/>
      <c r="S35" s="1"/>
      <c r="T35" s="1"/>
      <c r="U35" s="1"/>
    </row>
    <row r="36" spans="1:21" x14ac:dyDescent="0.3">
      <c r="A36" s="1"/>
      <c r="B36" s="56"/>
      <c r="C36" s="56"/>
      <c r="D36" s="13" t="s">
        <v>18</v>
      </c>
      <c r="E36" s="13" t="s">
        <v>18</v>
      </c>
      <c r="F36" s="13" t="s">
        <v>18</v>
      </c>
      <c r="G36" s="13" t="s">
        <v>18</v>
      </c>
      <c r="H36" s="13" t="s">
        <v>18</v>
      </c>
      <c r="I36" s="13" t="s">
        <v>18</v>
      </c>
      <c r="J36" s="13" t="s">
        <v>18</v>
      </c>
      <c r="K36" s="13" t="s">
        <v>18</v>
      </c>
      <c r="L36" s="13" t="s">
        <v>18</v>
      </c>
      <c r="M36" s="13" t="s">
        <v>18</v>
      </c>
      <c r="N36" s="14" t="s">
        <v>29</v>
      </c>
      <c r="O36" s="58"/>
      <c r="P36" s="58"/>
      <c r="Q36" s="54"/>
      <c r="R36" s="52"/>
      <c r="S36" s="1"/>
      <c r="T36" s="1"/>
      <c r="U36" s="1"/>
    </row>
    <row r="37" spans="1:21" x14ac:dyDescent="0.3">
      <c r="A37" s="1"/>
      <c r="B37" s="59" t="s">
        <v>20</v>
      </c>
      <c r="C37" s="60"/>
      <c r="D37" s="16">
        <v>0.1</v>
      </c>
      <c r="E37" s="16">
        <v>0.05</v>
      </c>
      <c r="F37" s="16">
        <v>0.1</v>
      </c>
      <c r="G37" s="16">
        <v>0.1</v>
      </c>
      <c r="H37" s="16">
        <v>0.05</v>
      </c>
      <c r="I37" s="17">
        <v>0.1</v>
      </c>
      <c r="J37" s="17">
        <v>0.35</v>
      </c>
      <c r="K37" s="17">
        <v>0.08</v>
      </c>
      <c r="L37" s="17">
        <v>0.02</v>
      </c>
      <c r="M37" s="17">
        <v>0.05</v>
      </c>
      <c r="N37" s="19">
        <v>1</v>
      </c>
      <c r="O37" s="20"/>
      <c r="P37" s="22"/>
      <c r="Q37" s="54"/>
      <c r="R37" s="52"/>
      <c r="S37" s="1"/>
      <c r="T37" s="1"/>
      <c r="U37" s="1"/>
    </row>
    <row r="38" spans="1:21" ht="18" x14ac:dyDescent="0.3">
      <c r="A38" s="1"/>
      <c r="B38" s="23">
        <v>1</v>
      </c>
      <c r="C38" s="24" t="s">
        <v>36</v>
      </c>
      <c r="D38" s="25">
        <v>1</v>
      </c>
      <c r="E38" s="25">
        <v>0.99</v>
      </c>
      <c r="F38" s="25">
        <v>1</v>
      </c>
      <c r="G38" s="25">
        <v>1</v>
      </c>
      <c r="H38" s="25">
        <v>1</v>
      </c>
      <c r="I38" s="25">
        <v>0.97619999999999996</v>
      </c>
      <c r="J38" s="25">
        <v>0.8</v>
      </c>
      <c r="K38" s="25">
        <v>1</v>
      </c>
      <c r="L38" s="26">
        <v>0</v>
      </c>
      <c r="M38" s="26">
        <v>0.75</v>
      </c>
      <c r="N38" s="27">
        <v>0.89459999999999995</v>
      </c>
      <c r="O38" s="28">
        <v>0</v>
      </c>
      <c r="P38" s="27">
        <v>0.89459999999999995</v>
      </c>
      <c r="Q38" s="54"/>
      <c r="R38" s="52"/>
      <c r="S38" s="1"/>
      <c r="T38" s="1"/>
      <c r="U38" s="1"/>
    </row>
    <row r="39" spans="1:21" ht="18" x14ac:dyDescent="0.3">
      <c r="A39" s="1"/>
      <c r="B39" s="23">
        <v>2</v>
      </c>
      <c r="C39" s="24" t="s">
        <v>37</v>
      </c>
      <c r="D39" s="25">
        <v>1</v>
      </c>
      <c r="E39" s="25">
        <v>1</v>
      </c>
      <c r="F39" s="25">
        <v>1</v>
      </c>
      <c r="G39" s="25">
        <v>0.92420000000000002</v>
      </c>
      <c r="H39" s="25">
        <v>1</v>
      </c>
      <c r="I39" s="25">
        <v>0.99739999999999995</v>
      </c>
      <c r="J39" s="25">
        <v>0.8</v>
      </c>
      <c r="K39" s="25">
        <v>1</v>
      </c>
      <c r="L39" s="26">
        <v>0</v>
      </c>
      <c r="M39" s="26">
        <v>1</v>
      </c>
      <c r="N39" s="27">
        <v>0.9022</v>
      </c>
      <c r="O39" s="28">
        <v>0</v>
      </c>
      <c r="P39" s="27">
        <v>0.9022</v>
      </c>
      <c r="Q39" s="54"/>
      <c r="R39" s="52"/>
      <c r="S39" s="1"/>
      <c r="T39" s="1"/>
      <c r="U39" s="1"/>
    </row>
    <row r="40" spans="1:21" ht="18" x14ac:dyDescent="0.3">
      <c r="A40" s="1"/>
      <c r="B40" s="23">
        <v>3</v>
      </c>
      <c r="C40" s="24" t="s">
        <v>38</v>
      </c>
      <c r="D40" s="25">
        <v>1</v>
      </c>
      <c r="E40" s="25">
        <v>1</v>
      </c>
      <c r="F40" s="25">
        <v>1</v>
      </c>
      <c r="G40" s="25">
        <v>0.95930000000000004</v>
      </c>
      <c r="H40" s="25">
        <v>1</v>
      </c>
      <c r="I40" s="25">
        <v>1</v>
      </c>
      <c r="J40" s="25">
        <v>1</v>
      </c>
      <c r="K40" s="25">
        <v>1</v>
      </c>
      <c r="L40" s="26">
        <v>0</v>
      </c>
      <c r="M40" s="26">
        <v>0.75</v>
      </c>
      <c r="N40" s="27">
        <v>0.96340000000000003</v>
      </c>
      <c r="O40" s="28">
        <v>0</v>
      </c>
      <c r="P40" s="27">
        <v>0.96340000000000003</v>
      </c>
      <c r="Q40" s="54"/>
      <c r="R40" s="52"/>
      <c r="S40" s="1"/>
      <c r="T40" s="1"/>
      <c r="U40" s="1"/>
    </row>
    <row r="41" spans="1:21" ht="18" x14ac:dyDescent="0.3">
      <c r="A41" s="1"/>
      <c r="B41" s="23">
        <v>4</v>
      </c>
      <c r="C41" s="24" t="s">
        <v>39</v>
      </c>
      <c r="D41" s="25">
        <v>1</v>
      </c>
      <c r="E41" s="25">
        <v>1</v>
      </c>
      <c r="F41" s="25">
        <v>1</v>
      </c>
      <c r="G41" s="25">
        <v>0.92859999999999998</v>
      </c>
      <c r="H41" s="25">
        <v>1</v>
      </c>
      <c r="I41" s="25">
        <v>0.99380000000000002</v>
      </c>
      <c r="J41" s="25">
        <v>0.5</v>
      </c>
      <c r="K41" s="25">
        <v>1</v>
      </c>
      <c r="L41" s="26">
        <v>1</v>
      </c>
      <c r="M41" s="26">
        <v>1</v>
      </c>
      <c r="N41" s="27">
        <v>0.81720000000000004</v>
      </c>
      <c r="O41" s="28">
        <v>0</v>
      </c>
      <c r="P41" s="27">
        <v>0.81720000000000004</v>
      </c>
      <c r="Q41" s="54"/>
      <c r="R41" s="52"/>
      <c r="S41" s="1"/>
      <c r="T41" s="1"/>
      <c r="U41" s="1"/>
    </row>
    <row r="42" spans="1:21" ht="18" x14ac:dyDescent="0.3">
      <c r="A42" s="1"/>
      <c r="B42" s="23">
        <v>5</v>
      </c>
      <c r="C42" s="24" t="s">
        <v>40</v>
      </c>
      <c r="D42" s="25">
        <v>1</v>
      </c>
      <c r="E42" s="25">
        <v>1</v>
      </c>
      <c r="F42" s="25">
        <v>1</v>
      </c>
      <c r="G42" s="25">
        <v>1</v>
      </c>
      <c r="H42" s="25">
        <v>1</v>
      </c>
      <c r="I42" s="25">
        <v>0.99399999999999999</v>
      </c>
      <c r="J42" s="25">
        <v>1</v>
      </c>
      <c r="K42" s="25">
        <v>1</v>
      </c>
      <c r="L42" s="26">
        <v>1</v>
      </c>
      <c r="M42" s="26">
        <v>1</v>
      </c>
      <c r="N42" s="27">
        <v>0.99939999999999996</v>
      </c>
      <c r="O42" s="28">
        <v>0</v>
      </c>
      <c r="P42" s="27">
        <v>0.99939999999999996</v>
      </c>
      <c r="Q42" s="54"/>
      <c r="R42" s="52"/>
      <c r="S42" s="1"/>
      <c r="T42" s="1"/>
      <c r="U42" s="1"/>
    </row>
    <row r="43" spans="1:21" ht="18" x14ac:dyDescent="0.3">
      <c r="A43" s="1"/>
      <c r="B43" s="23">
        <v>6</v>
      </c>
      <c r="C43" s="24" t="s">
        <v>41</v>
      </c>
      <c r="D43" s="25">
        <v>1</v>
      </c>
      <c r="E43" s="25">
        <v>1</v>
      </c>
      <c r="F43" s="25">
        <v>1</v>
      </c>
      <c r="G43" s="25">
        <v>0.93600000000000005</v>
      </c>
      <c r="H43" s="25">
        <v>1</v>
      </c>
      <c r="I43" s="25">
        <v>1</v>
      </c>
      <c r="J43" s="25">
        <v>0.8</v>
      </c>
      <c r="K43" s="25">
        <v>0.5</v>
      </c>
      <c r="L43" s="26">
        <v>0</v>
      </c>
      <c r="M43" s="26">
        <v>0.5</v>
      </c>
      <c r="N43" s="27">
        <v>0.83860000000000001</v>
      </c>
      <c r="O43" s="28">
        <v>0</v>
      </c>
      <c r="P43" s="27">
        <v>0.83860000000000001</v>
      </c>
      <c r="Q43" s="54"/>
      <c r="R43" s="52"/>
      <c r="S43" s="1"/>
      <c r="T43" s="1"/>
      <c r="U43" s="1"/>
    </row>
    <row r="44" spans="1:21" x14ac:dyDescent="0.3">
      <c r="A44" s="1"/>
      <c r="B44" s="59" t="s">
        <v>27</v>
      </c>
      <c r="C44" s="60"/>
      <c r="D44" s="31">
        <v>1</v>
      </c>
      <c r="E44" s="31">
        <v>1</v>
      </c>
      <c r="F44" s="31">
        <v>1</v>
      </c>
      <c r="G44" s="31">
        <v>0.96</v>
      </c>
      <c r="H44" s="31">
        <v>1</v>
      </c>
      <c r="I44" s="31">
        <v>0.99</v>
      </c>
      <c r="J44" s="31">
        <v>0.82</v>
      </c>
      <c r="K44" s="31">
        <v>0.92</v>
      </c>
      <c r="L44" s="31">
        <v>0.33</v>
      </c>
      <c r="M44" s="31">
        <v>0.83</v>
      </c>
      <c r="N44" s="31">
        <v>0.9</v>
      </c>
      <c r="O44" s="31">
        <v>0</v>
      </c>
      <c r="P44" s="31">
        <v>0.9</v>
      </c>
      <c r="Q44" s="54"/>
      <c r="R44" s="52"/>
      <c r="S44" s="1"/>
      <c r="T44" s="1"/>
      <c r="U44" s="1"/>
    </row>
    <row r="45" spans="1:2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52"/>
      <c r="R45" s="52"/>
      <c r="S45" s="1"/>
      <c r="T45" s="1"/>
      <c r="U45" s="1"/>
    </row>
    <row r="46" spans="1:2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52"/>
      <c r="R46" s="52"/>
      <c r="S46" s="1"/>
      <c r="T46" s="1"/>
      <c r="U46" s="1"/>
    </row>
    <row r="47" spans="1:21" ht="15.6" x14ac:dyDescent="0.3">
      <c r="A47" s="1"/>
      <c r="B47" s="3"/>
      <c r="C47" s="4" t="s">
        <v>42</v>
      </c>
      <c r="D47" s="3"/>
      <c r="E47" s="3"/>
      <c r="F47" s="3"/>
      <c r="G47" s="3"/>
      <c r="H47" s="3"/>
      <c r="I47" s="3"/>
      <c r="J47" s="3"/>
      <c r="K47" s="3"/>
      <c r="L47" s="1"/>
      <c r="M47" s="1"/>
      <c r="N47" s="1"/>
      <c r="O47" s="1"/>
      <c r="P47" s="5" t="s">
        <v>2</v>
      </c>
      <c r="Q47" s="54"/>
      <c r="R47" s="52"/>
      <c r="S47" s="1"/>
      <c r="T47" s="1"/>
      <c r="U47" s="1"/>
    </row>
    <row r="48" spans="1:21" ht="15.6" x14ac:dyDescent="0.3">
      <c r="A48" s="1"/>
      <c r="B48" s="3"/>
      <c r="C48" s="6">
        <v>46174</v>
      </c>
      <c r="D48" s="3"/>
      <c r="E48" s="3"/>
      <c r="F48" s="3"/>
      <c r="G48" s="3"/>
      <c r="H48" s="3"/>
      <c r="I48" s="3"/>
      <c r="J48" s="3"/>
      <c r="K48" s="3"/>
      <c r="L48" s="1"/>
      <c r="M48" s="1"/>
      <c r="N48" s="1"/>
      <c r="O48" s="1"/>
      <c r="P48" s="7">
        <v>0.94</v>
      </c>
      <c r="Q48" s="54"/>
      <c r="R48" s="52"/>
      <c r="S48" s="1"/>
      <c r="T48" s="1"/>
      <c r="U48" s="1"/>
    </row>
    <row r="49" spans="1:21" ht="42" x14ac:dyDescent="0.3">
      <c r="A49" s="1"/>
      <c r="B49" s="55" t="s">
        <v>3</v>
      </c>
      <c r="C49" s="55" t="s">
        <v>4</v>
      </c>
      <c r="D49" s="8" t="s">
        <v>5</v>
      </c>
      <c r="E49" s="8" t="s">
        <v>6</v>
      </c>
      <c r="F49" s="9" t="s">
        <v>7</v>
      </c>
      <c r="G49" s="9" t="s">
        <v>8</v>
      </c>
      <c r="H49" s="9" t="s">
        <v>9</v>
      </c>
      <c r="I49" s="10" t="s">
        <v>10</v>
      </c>
      <c r="J49" s="10" t="s">
        <v>11</v>
      </c>
      <c r="K49" s="11" t="s">
        <v>12</v>
      </c>
      <c r="L49" s="10" t="s">
        <v>13</v>
      </c>
      <c r="M49" s="11" t="s">
        <v>14</v>
      </c>
      <c r="N49" s="12" t="s">
        <v>15</v>
      </c>
      <c r="O49" s="57" t="s">
        <v>16</v>
      </c>
      <c r="P49" s="57" t="s">
        <v>17</v>
      </c>
      <c r="Q49" s="54"/>
      <c r="R49" s="52"/>
      <c r="S49" s="1"/>
      <c r="T49" s="1"/>
      <c r="U49" s="1"/>
    </row>
    <row r="50" spans="1:21" x14ac:dyDescent="0.3">
      <c r="A50" s="1"/>
      <c r="B50" s="56"/>
      <c r="C50" s="56"/>
      <c r="D50" s="13" t="s">
        <v>18</v>
      </c>
      <c r="E50" s="13" t="s">
        <v>18</v>
      </c>
      <c r="F50" s="13" t="s">
        <v>18</v>
      </c>
      <c r="G50" s="13" t="s">
        <v>18</v>
      </c>
      <c r="H50" s="13" t="s">
        <v>18</v>
      </c>
      <c r="I50" s="13" t="s">
        <v>18</v>
      </c>
      <c r="J50" s="13" t="s">
        <v>18</v>
      </c>
      <c r="K50" s="13" t="s">
        <v>18</v>
      </c>
      <c r="L50" s="13" t="s">
        <v>18</v>
      </c>
      <c r="M50" s="13" t="s">
        <v>18</v>
      </c>
      <c r="N50" s="14" t="s">
        <v>29</v>
      </c>
      <c r="O50" s="58"/>
      <c r="P50" s="58"/>
      <c r="Q50" s="54"/>
      <c r="R50" s="52"/>
      <c r="S50" s="1"/>
      <c r="T50" s="1"/>
      <c r="U50" s="1"/>
    </row>
    <row r="51" spans="1:21" x14ac:dyDescent="0.3">
      <c r="A51" s="1"/>
      <c r="B51" s="59" t="s">
        <v>20</v>
      </c>
      <c r="C51" s="60"/>
      <c r="D51" s="16">
        <v>0.1</v>
      </c>
      <c r="E51" s="16">
        <v>0.05</v>
      </c>
      <c r="F51" s="16">
        <v>0.1</v>
      </c>
      <c r="G51" s="16">
        <v>0.1</v>
      </c>
      <c r="H51" s="16">
        <v>0.05</v>
      </c>
      <c r="I51" s="17">
        <v>0.1</v>
      </c>
      <c r="J51" s="17">
        <v>0.35</v>
      </c>
      <c r="K51" s="17">
        <v>0.08</v>
      </c>
      <c r="L51" s="17">
        <v>0.02</v>
      </c>
      <c r="M51" s="17">
        <v>0.05</v>
      </c>
      <c r="N51" s="19">
        <v>1</v>
      </c>
      <c r="O51" s="20"/>
      <c r="P51" s="22"/>
      <c r="Q51" s="54"/>
      <c r="R51" s="52"/>
      <c r="S51" s="1"/>
      <c r="T51" s="1"/>
      <c r="U51" s="1"/>
    </row>
    <row r="52" spans="1:21" ht="18" x14ac:dyDescent="0.3">
      <c r="A52" s="1"/>
      <c r="B52" s="23">
        <v>1</v>
      </c>
      <c r="C52" s="24" t="s">
        <v>43</v>
      </c>
      <c r="D52" s="25">
        <v>1</v>
      </c>
      <c r="E52" s="25">
        <v>1</v>
      </c>
      <c r="F52" s="25">
        <v>1</v>
      </c>
      <c r="G52" s="25">
        <v>0.91559999999999997</v>
      </c>
      <c r="H52" s="25">
        <v>0</v>
      </c>
      <c r="I52" s="25">
        <v>0.99750000000000005</v>
      </c>
      <c r="J52" s="25">
        <v>1</v>
      </c>
      <c r="K52" s="25">
        <v>1</v>
      </c>
      <c r="L52" s="26">
        <v>0</v>
      </c>
      <c r="M52" s="26">
        <v>1</v>
      </c>
      <c r="N52" s="27">
        <v>0.92130000000000001</v>
      </c>
      <c r="O52" s="28">
        <v>0</v>
      </c>
      <c r="P52" s="27">
        <v>0.92130000000000001</v>
      </c>
      <c r="Q52" s="54"/>
      <c r="R52" s="52"/>
      <c r="S52" s="1"/>
      <c r="T52" s="1"/>
      <c r="U52" s="1"/>
    </row>
    <row r="53" spans="1:21" ht="18" x14ac:dyDescent="0.3">
      <c r="A53" s="1"/>
      <c r="B53" s="23">
        <v>2</v>
      </c>
      <c r="C53" s="24" t="s">
        <v>44</v>
      </c>
      <c r="D53" s="25">
        <v>0.98</v>
      </c>
      <c r="E53" s="25">
        <v>1</v>
      </c>
      <c r="F53" s="25">
        <v>1</v>
      </c>
      <c r="G53" s="25">
        <v>1</v>
      </c>
      <c r="H53" s="25">
        <v>1</v>
      </c>
      <c r="I53" s="25">
        <v>0.99399999999999999</v>
      </c>
      <c r="J53" s="25">
        <v>0.8</v>
      </c>
      <c r="K53" s="25">
        <v>1</v>
      </c>
      <c r="L53" s="26">
        <v>1</v>
      </c>
      <c r="M53" s="26">
        <v>0.5</v>
      </c>
      <c r="N53" s="27">
        <v>0.90239999999999998</v>
      </c>
      <c r="O53" s="28">
        <v>0</v>
      </c>
      <c r="P53" s="27">
        <v>0.90239999999999998</v>
      </c>
      <c r="Q53" s="54"/>
      <c r="R53" s="52"/>
      <c r="S53" s="1"/>
      <c r="T53" s="1"/>
      <c r="U53" s="1"/>
    </row>
    <row r="54" spans="1:21" ht="18" x14ac:dyDescent="0.3">
      <c r="A54" s="1"/>
      <c r="B54" s="23">
        <v>3</v>
      </c>
      <c r="C54" s="24" t="s">
        <v>45</v>
      </c>
      <c r="D54" s="25">
        <v>1</v>
      </c>
      <c r="E54" s="25">
        <v>1</v>
      </c>
      <c r="F54" s="25">
        <v>1</v>
      </c>
      <c r="G54" s="25">
        <v>1</v>
      </c>
      <c r="H54" s="25">
        <v>1</v>
      </c>
      <c r="I54" s="25">
        <v>1</v>
      </c>
      <c r="J54" s="25">
        <v>1</v>
      </c>
      <c r="K54" s="25">
        <v>1</v>
      </c>
      <c r="L54" s="26">
        <v>0</v>
      </c>
      <c r="M54" s="26">
        <v>0.5</v>
      </c>
      <c r="N54" s="27">
        <v>0.95499999999999996</v>
      </c>
      <c r="O54" s="28">
        <v>0</v>
      </c>
      <c r="P54" s="27">
        <v>0.95499999999999996</v>
      </c>
      <c r="Q54" s="54"/>
      <c r="R54" s="52"/>
      <c r="S54" s="1"/>
      <c r="T54" s="1"/>
      <c r="U54" s="1"/>
    </row>
    <row r="55" spans="1:21" ht="18" x14ac:dyDescent="0.3">
      <c r="A55" s="1"/>
      <c r="B55" s="23">
        <v>4</v>
      </c>
      <c r="C55" s="24" t="s">
        <v>46</v>
      </c>
      <c r="D55" s="25">
        <v>0.98</v>
      </c>
      <c r="E55" s="25">
        <v>1</v>
      </c>
      <c r="F55" s="25">
        <v>1</v>
      </c>
      <c r="G55" s="25">
        <v>0.90700000000000003</v>
      </c>
      <c r="H55" s="25">
        <v>1</v>
      </c>
      <c r="I55" s="25">
        <v>0.99399999999999999</v>
      </c>
      <c r="J55" s="25">
        <v>1</v>
      </c>
      <c r="K55" s="25">
        <v>0.5</v>
      </c>
      <c r="L55" s="26">
        <v>1</v>
      </c>
      <c r="M55" s="26">
        <v>0.5</v>
      </c>
      <c r="N55" s="27">
        <v>0.92310000000000003</v>
      </c>
      <c r="O55" s="28">
        <v>0</v>
      </c>
      <c r="P55" s="27">
        <v>0.92310000000000003</v>
      </c>
      <c r="Q55" s="54"/>
      <c r="R55" s="52"/>
      <c r="S55" s="1"/>
      <c r="T55" s="1"/>
      <c r="U55" s="1"/>
    </row>
    <row r="56" spans="1:21" ht="18" x14ac:dyDescent="0.3">
      <c r="A56" s="1"/>
      <c r="B56" s="23">
        <v>5</v>
      </c>
      <c r="C56" s="24" t="s">
        <v>47</v>
      </c>
      <c r="D56" s="25">
        <v>1</v>
      </c>
      <c r="E56" s="25">
        <v>1</v>
      </c>
      <c r="F56" s="25">
        <v>1</v>
      </c>
      <c r="G56" s="25">
        <v>1</v>
      </c>
      <c r="H56" s="25">
        <v>1</v>
      </c>
      <c r="I56" s="25">
        <v>1</v>
      </c>
      <c r="J56" s="25">
        <v>1</v>
      </c>
      <c r="K56" s="25">
        <v>1</v>
      </c>
      <c r="L56" s="26">
        <v>0</v>
      </c>
      <c r="M56" s="26">
        <v>1</v>
      </c>
      <c r="N56" s="27">
        <v>0.98</v>
      </c>
      <c r="O56" s="28">
        <v>0</v>
      </c>
      <c r="P56" s="27">
        <v>0.98</v>
      </c>
      <c r="Q56" s="54"/>
      <c r="R56" s="52"/>
      <c r="S56" s="1"/>
      <c r="T56" s="1"/>
      <c r="U56" s="1"/>
    </row>
    <row r="57" spans="1:21" x14ac:dyDescent="0.3">
      <c r="A57" s="1"/>
      <c r="B57" s="59" t="s">
        <v>27</v>
      </c>
      <c r="C57" s="60"/>
      <c r="D57" s="31">
        <v>0.99</v>
      </c>
      <c r="E57" s="31">
        <v>1</v>
      </c>
      <c r="F57" s="31">
        <v>1</v>
      </c>
      <c r="G57" s="31">
        <v>0.96</v>
      </c>
      <c r="H57" s="31">
        <v>0.8</v>
      </c>
      <c r="I57" s="31">
        <v>1</v>
      </c>
      <c r="J57" s="31">
        <v>0.96</v>
      </c>
      <c r="K57" s="31">
        <v>0.9</v>
      </c>
      <c r="L57" s="31">
        <v>0.4</v>
      </c>
      <c r="M57" s="31">
        <v>0.7</v>
      </c>
      <c r="N57" s="31">
        <v>0.94</v>
      </c>
      <c r="O57" s="31">
        <v>0</v>
      </c>
      <c r="P57" s="31">
        <v>0.94</v>
      </c>
      <c r="Q57" s="54"/>
      <c r="R57" s="52"/>
      <c r="S57" s="1"/>
      <c r="T57" s="1"/>
      <c r="U57" s="1"/>
    </row>
    <row r="58" spans="1:21" x14ac:dyDescent="0.3">
      <c r="A58" s="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52"/>
      <c r="R58" s="52"/>
      <c r="S58" s="1"/>
      <c r="T58" s="1"/>
      <c r="U58" s="1"/>
    </row>
    <row r="59" spans="1:2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52"/>
      <c r="R59" s="52"/>
      <c r="S59" s="1"/>
      <c r="T59" s="1"/>
      <c r="U59" s="1"/>
    </row>
    <row r="60" spans="1:21" ht="15.6" x14ac:dyDescent="0.3">
      <c r="A60" s="1"/>
      <c r="B60" s="3"/>
      <c r="C60" s="4" t="s">
        <v>48</v>
      </c>
      <c r="D60" s="3"/>
      <c r="E60" s="3"/>
      <c r="F60" s="3"/>
      <c r="G60" s="3"/>
      <c r="H60" s="3"/>
      <c r="I60" s="3"/>
      <c r="J60" s="3"/>
      <c r="K60" s="3"/>
      <c r="L60" s="1"/>
      <c r="M60" s="1"/>
      <c r="N60" s="1"/>
      <c r="O60" s="1"/>
      <c r="P60" s="5" t="s">
        <v>2</v>
      </c>
      <c r="Q60" s="54"/>
      <c r="R60" s="52"/>
      <c r="S60" s="1"/>
      <c r="T60" s="1"/>
      <c r="U60" s="1"/>
    </row>
    <row r="61" spans="1:21" ht="15.6" x14ac:dyDescent="0.3">
      <c r="A61" s="1"/>
      <c r="B61" s="3"/>
      <c r="C61" s="6">
        <v>46174</v>
      </c>
      <c r="D61" s="3"/>
      <c r="E61" s="3"/>
      <c r="F61" s="3"/>
      <c r="G61" s="3"/>
      <c r="H61" s="3"/>
      <c r="I61" s="3"/>
      <c r="J61" s="3"/>
      <c r="K61" s="3"/>
      <c r="L61" s="1"/>
      <c r="M61" s="1"/>
      <c r="N61" s="1"/>
      <c r="O61" s="1"/>
      <c r="P61" s="7">
        <v>0.89</v>
      </c>
      <c r="Q61" s="54"/>
      <c r="R61" s="52"/>
      <c r="S61" s="1"/>
      <c r="T61" s="1"/>
      <c r="U61" s="1"/>
    </row>
    <row r="62" spans="1:21" ht="42" x14ac:dyDescent="0.3">
      <c r="A62" s="1"/>
      <c r="B62" s="55" t="s">
        <v>3</v>
      </c>
      <c r="C62" s="55" t="s">
        <v>4</v>
      </c>
      <c r="D62" s="8" t="s">
        <v>5</v>
      </c>
      <c r="E62" s="8" t="s">
        <v>6</v>
      </c>
      <c r="F62" s="9" t="s">
        <v>7</v>
      </c>
      <c r="G62" s="9" t="s">
        <v>8</v>
      </c>
      <c r="H62" s="9" t="s">
        <v>9</v>
      </c>
      <c r="I62" s="10" t="s">
        <v>10</v>
      </c>
      <c r="J62" s="10" t="s">
        <v>11</v>
      </c>
      <c r="K62" s="11" t="s">
        <v>12</v>
      </c>
      <c r="L62" s="10" t="s">
        <v>13</v>
      </c>
      <c r="M62" s="11" t="s">
        <v>14</v>
      </c>
      <c r="N62" s="12" t="s">
        <v>15</v>
      </c>
      <c r="O62" s="57" t="s">
        <v>16</v>
      </c>
      <c r="P62" s="57" t="s">
        <v>17</v>
      </c>
      <c r="Q62" s="54"/>
      <c r="R62" s="52"/>
      <c r="S62" s="1"/>
      <c r="T62" s="1"/>
      <c r="U62" s="1"/>
    </row>
    <row r="63" spans="1:21" x14ac:dyDescent="0.3">
      <c r="A63" s="1"/>
      <c r="B63" s="56"/>
      <c r="C63" s="56"/>
      <c r="D63" s="13" t="s">
        <v>18</v>
      </c>
      <c r="E63" s="13" t="s">
        <v>18</v>
      </c>
      <c r="F63" s="13" t="s">
        <v>18</v>
      </c>
      <c r="G63" s="13" t="s">
        <v>18</v>
      </c>
      <c r="H63" s="13" t="s">
        <v>18</v>
      </c>
      <c r="I63" s="13" t="s">
        <v>18</v>
      </c>
      <c r="J63" s="13" t="s">
        <v>18</v>
      </c>
      <c r="K63" s="13" t="s">
        <v>18</v>
      </c>
      <c r="L63" s="13" t="s">
        <v>18</v>
      </c>
      <c r="M63" s="13" t="s">
        <v>18</v>
      </c>
      <c r="N63" s="14" t="s">
        <v>29</v>
      </c>
      <c r="O63" s="58"/>
      <c r="P63" s="58"/>
      <c r="Q63" s="54"/>
      <c r="R63" s="52"/>
      <c r="S63" s="1"/>
      <c r="T63" s="1"/>
      <c r="U63" s="1"/>
    </row>
    <row r="64" spans="1:21" x14ac:dyDescent="0.3">
      <c r="A64" s="1"/>
      <c r="B64" s="59" t="s">
        <v>20</v>
      </c>
      <c r="C64" s="60"/>
      <c r="D64" s="16">
        <v>0.1</v>
      </c>
      <c r="E64" s="16">
        <v>0.05</v>
      </c>
      <c r="F64" s="16">
        <v>0.1</v>
      </c>
      <c r="G64" s="16">
        <v>0.1</v>
      </c>
      <c r="H64" s="16">
        <v>0.05</v>
      </c>
      <c r="I64" s="17">
        <v>0.1</v>
      </c>
      <c r="J64" s="17">
        <v>0.35</v>
      </c>
      <c r="K64" s="17">
        <v>0.08</v>
      </c>
      <c r="L64" s="17">
        <v>0.02</v>
      </c>
      <c r="M64" s="17">
        <v>0.05</v>
      </c>
      <c r="N64" s="19">
        <v>1</v>
      </c>
      <c r="O64" s="20"/>
      <c r="P64" s="22"/>
      <c r="Q64" s="54"/>
      <c r="R64" s="52"/>
      <c r="S64" s="1"/>
      <c r="T64" s="1"/>
      <c r="U64" s="1"/>
    </row>
    <row r="65" spans="1:21" ht="18" x14ac:dyDescent="0.3">
      <c r="A65" s="1"/>
      <c r="B65" s="23">
        <v>1</v>
      </c>
      <c r="C65" s="24" t="s">
        <v>49</v>
      </c>
      <c r="D65" s="25">
        <v>1</v>
      </c>
      <c r="E65" s="25">
        <v>1</v>
      </c>
      <c r="F65" s="25">
        <v>1</v>
      </c>
      <c r="G65" s="25">
        <v>0.76629999999999998</v>
      </c>
      <c r="H65" s="25">
        <v>1</v>
      </c>
      <c r="I65" s="25">
        <v>0.99129999999999996</v>
      </c>
      <c r="J65" s="25">
        <v>0.8</v>
      </c>
      <c r="K65" s="25">
        <v>0</v>
      </c>
      <c r="L65" s="26">
        <v>0</v>
      </c>
      <c r="M65" s="26">
        <v>1</v>
      </c>
      <c r="N65" s="27">
        <v>0.80579999999999996</v>
      </c>
      <c r="O65" s="28">
        <v>0</v>
      </c>
      <c r="P65" s="27">
        <v>0.80579999999999996</v>
      </c>
      <c r="Q65" s="54"/>
      <c r="R65" s="52"/>
      <c r="S65" s="1"/>
      <c r="T65" s="1"/>
      <c r="U65" s="1"/>
    </row>
    <row r="66" spans="1:21" ht="18" x14ac:dyDescent="0.3">
      <c r="A66" s="1"/>
      <c r="B66" s="23">
        <v>2</v>
      </c>
      <c r="C66" s="24" t="s">
        <v>50</v>
      </c>
      <c r="D66" s="25">
        <v>1</v>
      </c>
      <c r="E66" s="25">
        <v>0.98</v>
      </c>
      <c r="F66" s="25">
        <v>1</v>
      </c>
      <c r="G66" s="25">
        <v>1</v>
      </c>
      <c r="H66" s="25">
        <v>1</v>
      </c>
      <c r="I66" s="25">
        <v>0.995</v>
      </c>
      <c r="J66" s="25">
        <v>1</v>
      </c>
      <c r="K66" s="25">
        <v>0.5</v>
      </c>
      <c r="L66" s="26">
        <v>0</v>
      </c>
      <c r="M66" s="26">
        <v>1</v>
      </c>
      <c r="N66" s="27">
        <v>0.9385</v>
      </c>
      <c r="O66" s="28">
        <v>0</v>
      </c>
      <c r="P66" s="27">
        <v>0.9385</v>
      </c>
      <c r="Q66" s="54"/>
      <c r="R66" s="52"/>
      <c r="S66" s="1"/>
      <c r="T66" s="1"/>
      <c r="U66" s="1"/>
    </row>
    <row r="67" spans="1:21" ht="18" x14ac:dyDescent="0.3">
      <c r="A67" s="1"/>
      <c r="B67" s="23">
        <v>3</v>
      </c>
      <c r="C67" s="24" t="s">
        <v>51</v>
      </c>
      <c r="D67" s="25">
        <v>0.98</v>
      </c>
      <c r="E67" s="25">
        <v>1</v>
      </c>
      <c r="F67" s="25">
        <v>1</v>
      </c>
      <c r="G67" s="25">
        <v>0.87129999999999996</v>
      </c>
      <c r="H67" s="25">
        <v>0</v>
      </c>
      <c r="I67" s="25">
        <v>1</v>
      </c>
      <c r="J67" s="25">
        <v>1</v>
      </c>
      <c r="K67" s="25">
        <v>0.5</v>
      </c>
      <c r="L67" s="26">
        <v>0</v>
      </c>
      <c r="M67" s="26">
        <v>1</v>
      </c>
      <c r="N67" s="27">
        <v>0.87509999999999999</v>
      </c>
      <c r="O67" s="28">
        <v>0</v>
      </c>
      <c r="P67" s="27">
        <v>0.87509999999999999</v>
      </c>
      <c r="Q67" s="54"/>
      <c r="R67" s="52"/>
      <c r="S67" s="1"/>
      <c r="T67" s="1"/>
      <c r="U67" s="1"/>
    </row>
    <row r="68" spans="1:21" ht="18" x14ac:dyDescent="0.3">
      <c r="A68" s="1"/>
      <c r="B68" s="23">
        <v>4</v>
      </c>
      <c r="C68" s="24" t="s">
        <v>52</v>
      </c>
      <c r="D68" s="25">
        <v>1</v>
      </c>
      <c r="E68" s="25">
        <v>1</v>
      </c>
      <c r="F68" s="25">
        <v>1</v>
      </c>
      <c r="G68" s="25">
        <v>1</v>
      </c>
      <c r="H68" s="25">
        <v>1</v>
      </c>
      <c r="I68" s="25">
        <v>1</v>
      </c>
      <c r="J68" s="25">
        <v>1</v>
      </c>
      <c r="K68" s="25">
        <v>1</v>
      </c>
      <c r="L68" s="26">
        <v>0</v>
      </c>
      <c r="M68" s="26">
        <v>1</v>
      </c>
      <c r="N68" s="27">
        <v>0.98</v>
      </c>
      <c r="O68" s="28">
        <v>0</v>
      </c>
      <c r="P68" s="27">
        <v>0.98</v>
      </c>
      <c r="Q68" s="54"/>
      <c r="R68" s="52"/>
      <c r="S68" s="1"/>
      <c r="T68" s="1"/>
      <c r="U68" s="1"/>
    </row>
    <row r="69" spans="1:21" ht="18" x14ac:dyDescent="0.3">
      <c r="A69" s="1"/>
      <c r="B69" s="23">
        <v>5</v>
      </c>
      <c r="C69" s="24" t="s">
        <v>53</v>
      </c>
      <c r="D69" s="25">
        <v>1</v>
      </c>
      <c r="E69" s="25">
        <v>1</v>
      </c>
      <c r="F69" s="25">
        <v>1</v>
      </c>
      <c r="G69" s="25">
        <v>0.98609999999999998</v>
      </c>
      <c r="H69" s="25">
        <v>1</v>
      </c>
      <c r="I69" s="25">
        <v>0.97940000000000005</v>
      </c>
      <c r="J69" s="25">
        <v>0.8</v>
      </c>
      <c r="K69" s="25">
        <v>0.5</v>
      </c>
      <c r="L69" s="26">
        <v>0</v>
      </c>
      <c r="M69" s="26">
        <v>0.75</v>
      </c>
      <c r="N69" s="27">
        <v>0.85399999999999998</v>
      </c>
      <c r="O69" s="28">
        <v>0</v>
      </c>
      <c r="P69" s="27">
        <v>0.85399999999999998</v>
      </c>
      <c r="Q69" s="54"/>
      <c r="R69" s="52"/>
      <c r="S69" s="1"/>
      <c r="T69" s="1"/>
      <c r="U69" s="1"/>
    </row>
    <row r="70" spans="1:21" ht="18" x14ac:dyDescent="0.3">
      <c r="A70" s="1"/>
      <c r="B70" s="23">
        <v>6</v>
      </c>
      <c r="C70" s="24" t="s">
        <v>54</v>
      </c>
      <c r="D70" s="25">
        <v>1</v>
      </c>
      <c r="E70" s="25">
        <v>0.98</v>
      </c>
      <c r="F70" s="25">
        <v>1</v>
      </c>
      <c r="G70" s="25">
        <v>1</v>
      </c>
      <c r="H70" s="25">
        <v>1</v>
      </c>
      <c r="I70" s="25">
        <v>0.99670000000000003</v>
      </c>
      <c r="J70" s="25">
        <v>1</v>
      </c>
      <c r="K70" s="25">
        <v>0.5</v>
      </c>
      <c r="L70" s="26">
        <v>0</v>
      </c>
      <c r="M70" s="26">
        <v>0.5</v>
      </c>
      <c r="N70" s="27">
        <v>0.91369999999999996</v>
      </c>
      <c r="O70" s="28">
        <v>0</v>
      </c>
      <c r="P70" s="27">
        <v>0.91369999999999996</v>
      </c>
      <c r="Q70" s="54"/>
      <c r="R70" s="52"/>
      <c r="S70" s="1"/>
      <c r="T70" s="1"/>
      <c r="U70" s="1"/>
    </row>
    <row r="71" spans="1:21" x14ac:dyDescent="0.3">
      <c r="A71" s="1"/>
      <c r="B71" s="59" t="s">
        <v>27</v>
      </c>
      <c r="C71" s="60"/>
      <c r="D71" s="31">
        <v>1</v>
      </c>
      <c r="E71" s="31">
        <v>0.99</v>
      </c>
      <c r="F71" s="31">
        <v>1</v>
      </c>
      <c r="G71" s="31">
        <v>0.94</v>
      </c>
      <c r="H71" s="31">
        <v>0.83</v>
      </c>
      <c r="I71" s="31">
        <v>0.99</v>
      </c>
      <c r="J71" s="31">
        <v>0.93</v>
      </c>
      <c r="K71" s="31">
        <v>0.5</v>
      </c>
      <c r="L71" s="31">
        <v>0</v>
      </c>
      <c r="M71" s="31">
        <v>0.88</v>
      </c>
      <c r="N71" s="31">
        <v>0.89</v>
      </c>
      <c r="O71" s="31">
        <v>0</v>
      </c>
      <c r="P71" s="31">
        <v>0.89</v>
      </c>
      <c r="Q71" s="54"/>
      <c r="R71" s="52"/>
      <c r="S71" s="1"/>
      <c r="T71" s="1"/>
      <c r="U71" s="1"/>
    </row>
    <row r="72" spans="1:2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52"/>
      <c r="R72" s="52"/>
      <c r="S72" s="1"/>
      <c r="T72" s="1"/>
      <c r="U72" s="1"/>
    </row>
    <row r="73" spans="1:2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52"/>
      <c r="R73" s="52"/>
      <c r="S73" s="1"/>
      <c r="T73" s="1"/>
      <c r="U73" s="1"/>
    </row>
    <row r="74" spans="1:21" ht="15.6" x14ac:dyDescent="0.3">
      <c r="A74" s="1"/>
      <c r="B74" s="3"/>
      <c r="C74" s="4" t="s">
        <v>55</v>
      </c>
      <c r="D74" s="3"/>
      <c r="E74" s="3"/>
      <c r="F74" s="3"/>
      <c r="G74" s="3"/>
      <c r="H74" s="3"/>
      <c r="I74" s="3"/>
      <c r="J74" s="3"/>
      <c r="K74" s="3"/>
      <c r="L74" s="1"/>
      <c r="M74" s="1"/>
      <c r="N74" s="1"/>
      <c r="O74" s="1"/>
      <c r="P74" s="5" t="s">
        <v>2</v>
      </c>
      <c r="Q74" s="54"/>
      <c r="R74" s="52"/>
      <c r="S74" s="1"/>
      <c r="T74" s="1"/>
      <c r="U74" s="1"/>
    </row>
    <row r="75" spans="1:21" ht="15.6" x14ac:dyDescent="0.3">
      <c r="A75" s="1"/>
      <c r="B75" s="3"/>
      <c r="C75" s="6">
        <v>46174</v>
      </c>
      <c r="D75" s="3"/>
      <c r="E75" s="3"/>
      <c r="F75" s="3"/>
      <c r="G75" s="3"/>
      <c r="H75" s="3"/>
      <c r="I75" s="3"/>
      <c r="J75" s="3"/>
      <c r="K75" s="3"/>
      <c r="L75" s="1"/>
      <c r="M75" s="1"/>
      <c r="N75" s="1"/>
      <c r="O75" s="1"/>
      <c r="P75" s="7">
        <v>0.89</v>
      </c>
      <c r="Q75" s="54"/>
      <c r="R75" s="52"/>
      <c r="S75" s="1"/>
      <c r="T75" s="1"/>
      <c r="U75" s="1"/>
    </row>
    <row r="76" spans="1:21" ht="42" x14ac:dyDescent="0.3">
      <c r="A76" s="1"/>
      <c r="B76" s="55" t="s">
        <v>3</v>
      </c>
      <c r="C76" s="55" t="s">
        <v>4</v>
      </c>
      <c r="D76" s="8" t="s">
        <v>5</v>
      </c>
      <c r="E76" s="8" t="s">
        <v>6</v>
      </c>
      <c r="F76" s="9" t="s">
        <v>7</v>
      </c>
      <c r="G76" s="9" t="s">
        <v>8</v>
      </c>
      <c r="H76" s="9" t="s">
        <v>9</v>
      </c>
      <c r="I76" s="10" t="s">
        <v>10</v>
      </c>
      <c r="J76" s="10" t="s">
        <v>11</v>
      </c>
      <c r="K76" s="11" t="s">
        <v>12</v>
      </c>
      <c r="L76" s="10" t="s">
        <v>13</v>
      </c>
      <c r="M76" s="11" t="s">
        <v>14</v>
      </c>
      <c r="N76" s="12" t="s">
        <v>15</v>
      </c>
      <c r="O76" s="57" t="s">
        <v>16</v>
      </c>
      <c r="P76" s="57" t="s">
        <v>17</v>
      </c>
      <c r="Q76" s="54"/>
      <c r="R76" s="52"/>
      <c r="S76" s="1"/>
      <c r="T76" s="1"/>
      <c r="U76" s="1"/>
    </row>
    <row r="77" spans="1:21" x14ac:dyDescent="0.3">
      <c r="A77" s="1"/>
      <c r="B77" s="56"/>
      <c r="C77" s="56"/>
      <c r="D77" s="13" t="s">
        <v>18</v>
      </c>
      <c r="E77" s="13" t="s">
        <v>18</v>
      </c>
      <c r="F77" s="13" t="s">
        <v>18</v>
      </c>
      <c r="G77" s="13" t="s">
        <v>18</v>
      </c>
      <c r="H77" s="13" t="s">
        <v>18</v>
      </c>
      <c r="I77" s="13" t="s">
        <v>18</v>
      </c>
      <c r="J77" s="13" t="s">
        <v>18</v>
      </c>
      <c r="K77" s="13" t="s">
        <v>18</v>
      </c>
      <c r="L77" s="13" t="s">
        <v>18</v>
      </c>
      <c r="M77" s="13" t="s">
        <v>18</v>
      </c>
      <c r="N77" s="14" t="s">
        <v>29</v>
      </c>
      <c r="O77" s="58"/>
      <c r="P77" s="58"/>
      <c r="Q77" s="54"/>
      <c r="R77" s="52"/>
      <c r="S77" s="1"/>
      <c r="T77" s="1"/>
      <c r="U77" s="1"/>
    </row>
    <row r="78" spans="1:21" x14ac:dyDescent="0.3">
      <c r="A78" s="1"/>
      <c r="B78" s="59" t="s">
        <v>20</v>
      </c>
      <c r="C78" s="60"/>
      <c r="D78" s="16">
        <v>0.1</v>
      </c>
      <c r="E78" s="16">
        <v>0.05</v>
      </c>
      <c r="F78" s="16">
        <v>0.1</v>
      </c>
      <c r="G78" s="16">
        <v>0.1</v>
      </c>
      <c r="H78" s="16">
        <v>0.05</v>
      </c>
      <c r="I78" s="17">
        <v>0.1</v>
      </c>
      <c r="J78" s="17">
        <v>0.35</v>
      </c>
      <c r="K78" s="17">
        <v>0.08</v>
      </c>
      <c r="L78" s="17">
        <v>0.02</v>
      </c>
      <c r="M78" s="17">
        <v>0.05</v>
      </c>
      <c r="N78" s="19">
        <v>1</v>
      </c>
      <c r="O78" s="20"/>
      <c r="P78" s="22"/>
      <c r="Q78" s="54"/>
      <c r="R78" s="52"/>
      <c r="S78" s="1"/>
      <c r="T78" s="1"/>
      <c r="U78" s="1"/>
    </row>
    <row r="79" spans="1:21" ht="18" x14ac:dyDescent="0.3">
      <c r="A79" s="1"/>
      <c r="B79" s="23">
        <v>1</v>
      </c>
      <c r="C79" s="24" t="s">
        <v>56</v>
      </c>
      <c r="D79" s="25">
        <v>1</v>
      </c>
      <c r="E79" s="25">
        <v>0.96</v>
      </c>
      <c r="F79" s="25">
        <v>1</v>
      </c>
      <c r="G79" s="25">
        <v>1</v>
      </c>
      <c r="H79" s="25">
        <v>1</v>
      </c>
      <c r="I79" s="25">
        <v>0.98309999999999997</v>
      </c>
      <c r="J79" s="25">
        <v>1</v>
      </c>
      <c r="K79" s="25">
        <v>1</v>
      </c>
      <c r="L79" s="26">
        <v>0</v>
      </c>
      <c r="M79" s="26">
        <v>1</v>
      </c>
      <c r="N79" s="27">
        <v>0.97629999999999995</v>
      </c>
      <c r="O79" s="28">
        <v>0</v>
      </c>
      <c r="P79" s="27">
        <v>0.97629999999999995</v>
      </c>
      <c r="Q79" s="54"/>
      <c r="R79" s="52"/>
      <c r="S79" s="1"/>
      <c r="T79" s="1"/>
      <c r="U79" s="1"/>
    </row>
    <row r="80" spans="1:21" ht="18" x14ac:dyDescent="0.3">
      <c r="A80" s="1"/>
      <c r="B80" s="23">
        <v>2</v>
      </c>
      <c r="C80" s="24" t="s">
        <v>57</v>
      </c>
      <c r="D80" s="25">
        <v>1</v>
      </c>
      <c r="E80" s="25">
        <v>1</v>
      </c>
      <c r="F80" s="25">
        <v>1</v>
      </c>
      <c r="G80" s="25">
        <v>1</v>
      </c>
      <c r="H80" s="25">
        <v>1</v>
      </c>
      <c r="I80" s="25">
        <v>0.98619999999999997</v>
      </c>
      <c r="J80" s="25">
        <v>0.8</v>
      </c>
      <c r="K80" s="25">
        <v>0.5</v>
      </c>
      <c r="L80" s="26">
        <v>1</v>
      </c>
      <c r="M80" s="26">
        <v>0.5</v>
      </c>
      <c r="N80" s="27">
        <v>0.86360000000000003</v>
      </c>
      <c r="O80" s="28">
        <v>0</v>
      </c>
      <c r="P80" s="27">
        <v>0.86360000000000003</v>
      </c>
      <c r="Q80" s="54"/>
      <c r="R80" s="52"/>
      <c r="S80" s="1"/>
      <c r="T80" s="1"/>
      <c r="U80" s="1"/>
    </row>
    <row r="81" spans="1:21" ht="18" x14ac:dyDescent="0.3">
      <c r="A81" s="1"/>
      <c r="B81" s="23"/>
      <c r="C81" s="24" t="s">
        <v>58</v>
      </c>
      <c r="D81" s="25">
        <v>1</v>
      </c>
      <c r="E81" s="25">
        <v>0.98</v>
      </c>
      <c r="F81" s="25">
        <v>1</v>
      </c>
      <c r="G81" s="25">
        <v>1</v>
      </c>
      <c r="H81" s="25">
        <v>1</v>
      </c>
      <c r="I81" s="25">
        <v>1</v>
      </c>
      <c r="J81" s="25">
        <v>1</v>
      </c>
      <c r="K81" s="25">
        <v>0.5</v>
      </c>
      <c r="L81" s="26">
        <v>0</v>
      </c>
      <c r="M81" s="26">
        <v>1</v>
      </c>
      <c r="N81" s="27">
        <v>0.93899999999999995</v>
      </c>
      <c r="O81" s="28">
        <v>0</v>
      </c>
      <c r="P81" s="27">
        <v>0.93899999999999995</v>
      </c>
      <c r="Q81" s="54"/>
      <c r="R81" s="52"/>
      <c r="S81" s="1"/>
      <c r="T81" s="1"/>
      <c r="U81" s="1"/>
    </row>
    <row r="82" spans="1:21" ht="18" x14ac:dyDescent="0.3">
      <c r="A82" s="1"/>
      <c r="B82" s="23">
        <v>3</v>
      </c>
      <c r="C82" s="24" t="s">
        <v>59</v>
      </c>
      <c r="D82" s="25">
        <v>1</v>
      </c>
      <c r="E82" s="25">
        <v>1</v>
      </c>
      <c r="F82" s="25">
        <v>1</v>
      </c>
      <c r="G82" s="25">
        <v>0.84619999999999995</v>
      </c>
      <c r="H82" s="25">
        <v>0</v>
      </c>
      <c r="I82" s="25">
        <v>0.99909999999999999</v>
      </c>
      <c r="J82" s="25">
        <v>1</v>
      </c>
      <c r="K82" s="25">
        <v>0.5</v>
      </c>
      <c r="L82" s="26">
        <v>0</v>
      </c>
      <c r="M82" s="26">
        <v>0.75</v>
      </c>
      <c r="N82" s="27">
        <v>0.86199999999999999</v>
      </c>
      <c r="O82" s="28">
        <v>0</v>
      </c>
      <c r="P82" s="27">
        <v>0.86199999999999999</v>
      </c>
      <c r="Q82" s="54"/>
      <c r="R82" s="52"/>
      <c r="S82" s="1"/>
      <c r="T82" s="1"/>
      <c r="U82" s="1"/>
    </row>
    <row r="83" spans="1:21" ht="18" x14ac:dyDescent="0.3">
      <c r="A83" s="1"/>
      <c r="B83" s="23">
        <v>4</v>
      </c>
      <c r="C83" s="24" t="s">
        <v>60</v>
      </c>
      <c r="D83" s="25">
        <v>1</v>
      </c>
      <c r="E83" s="25">
        <v>1</v>
      </c>
      <c r="F83" s="25">
        <v>1</v>
      </c>
      <c r="G83" s="25">
        <v>0.94930000000000003</v>
      </c>
      <c r="H83" s="25">
        <v>0</v>
      </c>
      <c r="I83" s="25">
        <v>0.98729999999999996</v>
      </c>
      <c r="J83" s="25">
        <v>0.8</v>
      </c>
      <c r="K83" s="25">
        <v>0.5</v>
      </c>
      <c r="L83" s="26">
        <v>0</v>
      </c>
      <c r="M83" s="26">
        <v>1</v>
      </c>
      <c r="N83" s="27">
        <v>0.81369999999999998</v>
      </c>
      <c r="O83" s="28">
        <v>0</v>
      </c>
      <c r="P83" s="27">
        <v>0.81369999999999998</v>
      </c>
      <c r="Q83" s="54"/>
      <c r="R83" s="52"/>
      <c r="S83" s="1"/>
      <c r="T83" s="1"/>
      <c r="U83" s="1"/>
    </row>
    <row r="84" spans="1:21" ht="18" x14ac:dyDescent="0.3">
      <c r="A84" s="1"/>
      <c r="B84" s="23">
        <v>5</v>
      </c>
      <c r="C84" s="24" t="s">
        <v>61</v>
      </c>
      <c r="D84" s="25">
        <v>1</v>
      </c>
      <c r="E84" s="25">
        <v>1</v>
      </c>
      <c r="F84" s="25">
        <v>1</v>
      </c>
      <c r="G84" s="25">
        <v>0.95540000000000003</v>
      </c>
      <c r="H84" s="25">
        <v>1</v>
      </c>
      <c r="I84" s="25">
        <v>1</v>
      </c>
      <c r="J84" s="25">
        <v>1</v>
      </c>
      <c r="K84" s="25">
        <v>0.5</v>
      </c>
      <c r="L84" s="26">
        <v>0</v>
      </c>
      <c r="M84" s="26">
        <v>0.5</v>
      </c>
      <c r="N84" s="27">
        <v>0.91049999999999998</v>
      </c>
      <c r="O84" s="28">
        <v>0</v>
      </c>
      <c r="P84" s="27">
        <v>0.91049999999999998</v>
      </c>
      <c r="Q84" s="54"/>
      <c r="R84" s="52"/>
      <c r="S84" s="1"/>
      <c r="T84" s="1"/>
      <c r="U84" s="1"/>
    </row>
    <row r="85" spans="1:21" x14ac:dyDescent="0.3">
      <c r="A85" s="1"/>
      <c r="B85" s="59" t="s">
        <v>27</v>
      </c>
      <c r="C85" s="60"/>
      <c r="D85" s="31">
        <v>1</v>
      </c>
      <c r="E85" s="31">
        <v>0.99</v>
      </c>
      <c r="F85" s="31">
        <v>1</v>
      </c>
      <c r="G85" s="31">
        <v>0.96</v>
      </c>
      <c r="H85" s="31">
        <v>0.67</v>
      </c>
      <c r="I85" s="31">
        <v>0.99</v>
      </c>
      <c r="J85" s="31">
        <v>0.93</v>
      </c>
      <c r="K85" s="31">
        <v>0.57999999999999996</v>
      </c>
      <c r="L85" s="31">
        <v>0.17</v>
      </c>
      <c r="M85" s="31">
        <v>0.79</v>
      </c>
      <c r="N85" s="31">
        <v>0.89</v>
      </c>
      <c r="O85" s="31">
        <v>0</v>
      </c>
      <c r="P85" s="31">
        <v>0.89</v>
      </c>
      <c r="Q85" s="54"/>
      <c r="R85" s="52"/>
      <c r="S85" s="1"/>
      <c r="T85" s="1"/>
      <c r="U85" s="1"/>
    </row>
    <row r="86" spans="1:2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52"/>
      <c r="R86" s="52"/>
      <c r="S86" s="1"/>
      <c r="T86" s="1"/>
      <c r="U86" s="1"/>
    </row>
    <row r="87" spans="1:2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52"/>
      <c r="R87" s="52"/>
      <c r="S87" s="1"/>
      <c r="T87" s="1"/>
      <c r="U87" s="1"/>
    </row>
    <row r="88" spans="1:21" ht="15.6" x14ac:dyDescent="0.3">
      <c r="A88" s="1"/>
      <c r="B88" s="3"/>
      <c r="C88" s="4" t="s">
        <v>62</v>
      </c>
      <c r="D88" s="3"/>
      <c r="E88" s="3"/>
      <c r="F88" s="3"/>
      <c r="G88" s="3"/>
      <c r="H88" s="3"/>
      <c r="I88" s="3"/>
      <c r="J88" s="3"/>
      <c r="K88" s="3"/>
      <c r="L88" s="1"/>
      <c r="M88" s="1"/>
      <c r="N88" s="1"/>
      <c r="O88" s="1"/>
      <c r="P88" s="5" t="s">
        <v>2</v>
      </c>
      <c r="Q88" s="54"/>
      <c r="R88" s="52"/>
      <c r="S88" s="1"/>
      <c r="T88" s="1"/>
      <c r="U88" s="1"/>
    </row>
    <row r="89" spans="1:21" ht="15.6" x14ac:dyDescent="0.3">
      <c r="A89" s="1"/>
      <c r="B89" s="3"/>
      <c r="C89" s="6">
        <v>46174</v>
      </c>
      <c r="D89" s="3"/>
      <c r="E89" s="3"/>
      <c r="F89" s="3"/>
      <c r="G89" s="3"/>
      <c r="H89" s="3"/>
      <c r="I89" s="3"/>
      <c r="J89" s="3"/>
      <c r="K89" s="3"/>
      <c r="L89" s="1"/>
      <c r="M89" s="1"/>
      <c r="N89" s="1"/>
      <c r="O89" s="1"/>
      <c r="P89" s="7">
        <v>0.93</v>
      </c>
      <c r="Q89" s="54"/>
      <c r="R89" s="52"/>
      <c r="S89" s="1"/>
      <c r="T89" s="1"/>
      <c r="U89" s="1"/>
    </row>
    <row r="90" spans="1:21" ht="42" x14ac:dyDescent="0.3">
      <c r="A90" s="1"/>
      <c r="B90" s="55" t="s">
        <v>3</v>
      </c>
      <c r="C90" s="55" t="s">
        <v>4</v>
      </c>
      <c r="D90" s="8" t="s">
        <v>5</v>
      </c>
      <c r="E90" s="8" t="s">
        <v>6</v>
      </c>
      <c r="F90" s="9" t="s">
        <v>7</v>
      </c>
      <c r="G90" s="9" t="s">
        <v>8</v>
      </c>
      <c r="H90" s="9" t="s">
        <v>9</v>
      </c>
      <c r="I90" s="10" t="s">
        <v>10</v>
      </c>
      <c r="J90" s="10" t="s">
        <v>11</v>
      </c>
      <c r="K90" s="11" t="s">
        <v>12</v>
      </c>
      <c r="L90" s="10" t="s">
        <v>13</v>
      </c>
      <c r="M90" s="11" t="s">
        <v>14</v>
      </c>
      <c r="N90" s="12" t="s">
        <v>15</v>
      </c>
      <c r="O90" s="57" t="s">
        <v>16</v>
      </c>
      <c r="P90" s="57" t="s">
        <v>17</v>
      </c>
      <c r="Q90" s="54"/>
      <c r="R90" s="52"/>
      <c r="S90" s="1"/>
      <c r="T90" s="1"/>
      <c r="U90" s="1"/>
    </row>
    <row r="91" spans="1:21" x14ac:dyDescent="0.3">
      <c r="A91" s="1"/>
      <c r="B91" s="56"/>
      <c r="C91" s="56"/>
      <c r="D91" s="13" t="s">
        <v>18</v>
      </c>
      <c r="E91" s="13" t="s">
        <v>18</v>
      </c>
      <c r="F91" s="13" t="s">
        <v>18</v>
      </c>
      <c r="G91" s="13" t="s">
        <v>18</v>
      </c>
      <c r="H91" s="13" t="s">
        <v>18</v>
      </c>
      <c r="I91" s="13" t="s">
        <v>18</v>
      </c>
      <c r="J91" s="13" t="s">
        <v>18</v>
      </c>
      <c r="K91" s="13" t="s">
        <v>18</v>
      </c>
      <c r="L91" s="13" t="s">
        <v>18</v>
      </c>
      <c r="M91" s="13" t="s">
        <v>18</v>
      </c>
      <c r="N91" s="14" t="s">
        <v>29</v>
      </c>
      <c r="O91" s="58"/>
      <c r="P91" s="58"/>
      <c r="Q91" s="54"/>
      <c r="R91" s="52"/>
      <c r="S91" s="1"/>
      <c r="T91" s="1"/>
      <c r="U91" s="1"/>
    </row>
    <row r="92" spans="1:21" x14ac:dyDescent="0.3">
      <c r="A92" s="1"/>
      <c r="B92" s="59" t="s">
        <v>20</v>
      </c>
      <c r="C92" s="60"/>
      <c r="D92" s="16">
        <v>0.1</v>
      </c>
      <c r="E92" s="16">
        <v>0.05</v>
      </c>
      <c r="F92" s="16">
        <v>0.1</v>
      </c>
      <c r="G92" s="16">
        <v>0.1</v>
      </c>
      <c r="H92" s="16">
        <v>0.05</v>
      </c>
      <c r="I92" s="17">
        <v>0.1</v>
      </c>
      <c r="J92" s="17">
        <v>0.35</v>
      </c>
      <c r="K92" s="17">
        <v>0.08</v>
      </c>
      <c r="L92" s="17">
        <v>0.02</v>
      </c>
      <c r="M92" s="17">
        <v>0.05</v>
      </c>
      <c r="N92" s="19">
        <v>1</v>
      </c>
      <c r="O92" s="20"/>
      <c r="P92" s="22"/>
      <c r="Q92" s="54"/>
      <c r="R92" s="52"/>
      <c r="S92" s="1"/>
      <c r="T92" s="1"/>
      <c r="U92" s="1"/>
    </row>
    <row r="93" spans="1:21" ht="18" x14ac:dyDescent="0.3">
      <c r="A93" s="1"/>
      <c r="B93" s="23">
        <v>1</v>
      </c>
      <c r="C93" s="24" t="s">
        <v>63</v>
      </c>
      <c r="D93" s="25">
        <v>1</v>
      </c>
      <c r="E93" s="25">
        <v>1</v>
      </c>
      <c r="F93" s="25">
        <v>1</v>
      </c>
      <c r="G93" s="25">
        <v>1</v>
      </c>
      <c r="H93" s="25">
        <v>1</v>
      </c>
      <c r="I93" s="25">
        <v>0.93689999999999996</v>
      </c>
      <c r="J93" s="25">
        <v>0.8</v>
      </c>
      <c r="K93" s="25">
        <v>1</v>
      </c>
      <c r="L93" s="26">
        <v>0</v>
      </c>
      <c r="M93" s="26">
        <v>1</v>
      </c>
      <c r="N93" s="27">
        <v>0.90369999999999995</v>
      </c>
      <c r="O93" s="28">
        <v>0</v>
      </c>
      <c r="P93" s="27">
        <v>0.90369999999999995</v>
      </c>
      <c r="Q93" s="54"/>
      <c r="R93" s="52"/>
      <c r="S93" s="1"/>
      <c r="T93" s="1"/>
      <c r="U93" s="1"/>
    </row>
    <row r="94" spans="1:21" ht="18" x14ac:dyDescent="0.3">
      <c r="A94" s="1"/>
      <c r="B94" s="23">
        <v>2</v>
      </c>
      <c r="C94" s="24" t="s">
        <v>64</v>
      </c>
      <c r="D94" s="25">
        <v>0.96</v>
      </c>
      <c r="E94" s="25">
        <v>1</v>
      </c>
      <c r="F94" s="25">
        <v>1</v>
      </c>
      <c r="G94" s="25">
        <v>1</v>
      </c>
      <c r="H94" s="25">
        <v>1</v>
      </c>
      <c r="I94" s="25">
        <v>0.99329999999999996</v>
      </c>
      <c r="J94" s="25">
        <v>0.8</v>
      </c>
      <c r="K94" s="25">
        <v>1</v>
      </c>
      <c r="L94" s="26">
        <v>1</v>
      </c>
      <c r="M94" s="26">
        <v>0.75</v>
      </c>
      <c r="N94" s="27">
        <v>0.91279999999999994</v>
      </c>
      <c r="O94" s="28">
        <v>0</v>
      </c>
      <c r="P94" s="27">
        <v>0.91279999999999994</v>
      </c>
      <c r="Q94" s="54"/>
      <c r="R94" s="52"/>
      <c r="S94" s="1"/>
      <c r="T94" s="1"/>
      <c r="U94" s="1"/>
    </row>
    <row r="95" spans="1:21" ht="18" x14ac:dyDescent="0.3">
      <c r="A95" s="1"/>
      <c r="B95" s="23">
        <v>3</v>
      </c>
      <c r="C95" s="24" t="s">
        <v>65</v>
      </c>
      <c r="D95" s="25">
        <v>0.98</v>
      </c>
      <c r="E95" s="25">
        <v>1</v>
      </c>
      <c r="F95" s="25">
        <v>1</v>
      </c>
      <c r="G95" s="25">
        <v>0.93079999999999996</v>
      </c>
      <c r="H95" s="25">
        <v>1</v>
      </c>
      <c r="I95" s="25">
        <v>0.99399999999999999</v>
      </c>
      <c r="J95" s="25">
        <v>0.8</v>
      </c>
      <c r="K95" s="25">
        <v>1</v>
      </c>
      <c r="L95" s="26">
        <v>1</v>
      </c>
      <c r="M95" s="26">
        <v>0.75</v>
      </c>
      <c r="N95" s="27">
        <v>0.90800000000000003</v>
      </c>
      <c r="O95" s="28">
        <v>0</v>
      </c>
      <c r="P95" s="27">
        <v>0.90800000000000003</v>
      </c>
      <c r="Q95" s="54"/>
      <c r="R95" s="52"/>
      <c r="S95" s="1"/>
      <c r="T95" s="1"/>
      <c r="U95" s="1"/>
    </row>
    <row r="96" spans="1:21" ht="18" x14ac:dyDescent="0.3">
      <c r="A96" s="1"/>
      <c r="B96" s="23">
        <v>4</v>
      </c>
      <c r="C96" s="24" t="s">
        <v>66</v>
      </c>
      <c r="D96" s="25">
        <v>1</v>
      </c>
      <c r="E96" s="25">
        <v>1</v>
      </c>
      <c r="F96" s="25">
        <v>1</v>
      </c>
      <c r="G96" s="25">
        <v>1</v>
      </c>
      <c r="H96" s="25">
        <v>1</v>
      </c>
      <c r="I96" s="25">
        <v>1</v>
      </c>
      <c r="J96" s="25">
        <v>1</v>
      </c>
      <c r="K96" s="25">
        <v>0.5</v>
      </c>
      <c r="L96" s="26">
        <v>0</v>
      </c>
      <c r="M96" s="26">
        <v>1</v>
      </c>
      <c r="N96" s="27">
        <v>0.94</v>
      </c>
      <c r="O96" s="28">
        <v>0</v>
      </c>
      <c r="P96" s="27">
        <v>0.94</v>
      </c>
      <c r="Q96" s="54"/>
      <c r="R96" s="52"/>
      <c r="S96" s="1"/>
      <c r="T96" s="1"/>
      <c r="U96" s="1"/>
    </row>
    <row r="97" spans="1:21" ht="18" x14ac:dyDescent="0.3">
      <c r="A97" s="1"/>
      <c r="B97" s="23">
        <v>5</v>
      </c>
      <c r="C97" s="24" t="s">
        <v>67</v>
      </c>
      <c r="D97" s="25">
        <v>1</v>
      </c>
      <c r="E97" s="25">
        <v>1</v>
      </c>
      <c r="F97" s="25">
        <v>1</v>
      </c>
      <c r="G97" s="25">
        <v>0.91639999999999999</v>
      </c>
      <c r="H97" s="25">
        <v>1</v>
      </c>
      <c r="I97" s="25">
        <v>1</v>
      </c>
      <c r="J97" s="25">
        <v>1</v>
      </c>
      <c r="K97" s="25">
        <v>1</v>
      </c>
      <c r="L97" s="26">
        <v>1</v>
      </c>
      <c r="M97" s="26">
        <v>1</v>
      </c>
      <c r="N97" s="27">
        <v>0.99160000000000004</v>
      </c>
      <c r="O97" s="28">
        <v>0</v>
      </c>
      <c r="P97" s="27">
        <v>0.99160000000000004</v>
      </c>
      <c r="Q97" s="54"/>
      <c r="R97" s="52"/>
      <c r="S97" s="1"/>
      <c r="T97" s="1"/>
      <c r="U97" s="1"/>
    </row>
    <row r="98" spans="1:21" x14ac:dyDescent="0.3">
      <c r="A98" s="1"/>
      <c r="B98" s="59" t="s">
        <v>27</v>
      </c>
      <c r="C98" s="60"/>
      <c r="D98" s="31">
        <v>0.99</v>
      </c>
      <c r="E98" s="31">
        <v>1</v>
      </c>
      <c r="F98" s="31">
        <v>1</v>
      </c>
      <c r="G98" s="31">
        <v>0.97</v>
      </c>
      <c r="H98" s="31">
        <v>1</v>
      </c>
      <c r="I98" s="31">
        <v>0.98</v>
      </c>
      <c r="J98" s="31">
        <v>0.88</v>
      </c>
      <c r="K98" s="31">
        <v>0.9</v>
      </c>
      <c r="L98" s="31">
        <v>0.6</v>
      </c>
      <c r="M98" s="31">
        <v>0.9</v>
      </c>
      <c r="N98" s="31">
        <v>0.93</v>
      </c>
      <c r="O98" s="31">
        <v>0</v>
      </c>
      <c r="P98" s="31">
        <v>0.93</v>
      </c>
      <c r="Q98" s="54"/>
      <c r="R98" s="52"/>
      <c r="S98" s="1"/>
      <c r="T98" s="1"/>
      <c r="U98" s="1"/>
    </row>
    <row r="99" spans="1:2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52"/>
      <c r="R99" s="52"/>
      <c r="S99" s="1"/>
      <c r="T99" s="1"/>
      <c r="U99" s="1"/>
    </row>
    <row r="100" spans="1:2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52"/>
      <c r="R100" s="52"/>
      <c r="S100" s="1"/>
      <c r="T100" s="1"/>
      <c r="U100" s="1"/>
    </row>
    <row r="101" spans="1:21" ht="15.6" x14ac:dyDescent="0.3">
      <c r="A101" s="1"/>
      <c r="B101" s="3"/>
      <c r="C101" s="4" t="s">
        <v>68</v>
      </c>
      <c r="D101" s="3"/>
      <c r="E101" s="3"/>
      <c r="F101" s="3"/>
      <c r="G101" s="3"/>
      <c r="H101" s="3"/>
      <c r="I101" s="3"/>
      <c r="J101" s="3"/>
      <c r="K101" s="3"/>
      <c r="L101" s="1"/>
      <c r="M101" s="1"/>
      <c r="N101" s="1"/>
      <c r="O101" s="1"/>
      <c r="P101" s="5" t="s">
        <v>2</v>
      </c>
      <c r="Q101" s="54"/>
      <c r="R101" s="52"/>
      <c r="S101" s="1"/>
      <c r="T101" s="1"/>
      <c r="U101" s="1"/>
    </row>
    <row r="102" spans="1:21" ht="15.6" x14ac:dyDescent="0.3">
      <c r="A102" s="1"/>
      <c r="B102" s="3"/>
      <c r="C102" s="6">
        <v>46174</v>
      </c>
      <c r="D102" s="3"/>
      <c r="E102" s="3"/>
      <c r="F102" s="3"/>
      <c r="G102" s="3"/>
      <c r="H102" s="3"/>
      <c r="I102" s="3"/>
      <c r="J102" s="3"/>
      <c r="K102" s="3"/>
      <c r="L102" s="1"/>
      <c r="M102" s="1"/>
      <c r="N102" s="1"/>
      <c r="O102" s="1"/>
      <c r="P102" s="7">
        <v>0.97</v>
      </c>
      <c r="Q102" s="54"/>
      <c r="R102" s="52"/>
      <c r="S102" s="1"/>
      <c r="T102" s="1"/>
      <c r="U102" s="1"/>
    </row>
    <row r="103" spans="1:21" ht="42" x14ac:dyDescent="0.3">
      <c r="A103" s="1"/>
      <c r="B103" s="55" t="s">
        <v>3</v>
      </c>
      <c r="C103" s="55" t="s">
        <v>4</v>
      </c>
      <c r="D103" s="8" t="s">
        <v>5</v>
      </c>
      <c r="E103" s="8" t="s">
        <v>6</v>
      </c>
      <c r="F103" s="9" t="s">
        <v>7</v>
      </c>
      <c r="G103" s="9" t="s">
        <v>8</v>
      </c>
      <c r="H103" s="9" t="s">
        <v>9</v>
      </c>
      <c r="I103" s="10" t="s">
        <v>10</v>
      </c>
      <c r="J103" s="10" t="s">
        <v>11</v>
      </c>
      <c r="K103" s="11" t="s">
        <v>12</v>
      </c>
      <c r="L103" s="10" t="s">
        <v>13</v>
      </c>
      <c r="M103" s="11" t="s">
        <v>14</v>
      </c>
      <c r="N103" s="12" t="s">
        <v>15</v>
      </c>
      <c r="O103" s="57" t="s">
        <v>16</v>
      </c>
      <c r="P103" s="57" t="s">
        <v>17</v>
      </c>
      <c r="Q103" s="54"/>
      <c r="R103" s="52"/>
      <c r="S103" s="1"/>
      <c r="T103" s="1"/>
      <c r="U103" s="1"/>
    </row>
    <row r="104" spans="1:21" x14ac:dyDescent="0.3">
      <c r="A104" s="1"/>
      <c r="B104" s="56"/>
      <c r="C104" s="56"/>
      <c r="D104" s="13" t="s">
        <v>18</v>
      </c>
      <c r="E104" s="13" t="s">
        <v>18</v>
      </c>
      <c r="F104" s="13" t="s">
        <v>18</v>
      </c>
      <c r="G104" s="13" t="s">
        <v>18</v>
      </c>
      <c r="H104" s="13" t="s">
        <v>18</v>
      </c>
      <c r="I104" s="13" t="s">
        <v>18</v>
      </c>
      <c r="J104" s="13" t="s">
        <v>18</v>
      </c>
      <c r="K104" s="13" t="s">
        <v>18</v>
      </c>
      <c r="L104" s="13" t="s">
        <v>18</v>
      </c>
      <c r="M104" s="13" t="s">
        <v>18</v>
      </c>
      <c r="N104" s="14" t="s">
        <v>29</v>
      </c>
      <c r="O104" s="58"/>
      <c r="P104" s="58"/>
      <c r="Q104" s="54"/>
      <c r="R104" s="52"/>
      <c r="S104" s="1"/>
      <c r="T104" s="1"/>
      <c r="U104" s="1"/>
    </row>
    <row r="105" spans="1:21" x14ac:dyDescent="0.3">
      <c r="A105" s="1"/>
      <c r="B105" s="59" t="s">
        <v>20</v>
      </c>
      <c r="C105" s="60"/>
      <c r="D105" s="16">
        <v>0.1</v>
      </c>
      <c r="E105" s="16">
        <v>0.05</v>
      </c>
      <c r="F105" s="16">
        <v>0.1</v>
      </c>
      <c r="G105" s="16">
        <v>0.1</v>
      </c>
      <c r="H105" s="16">
        <v>0.05</v>
      </c>
      <c r="I105" s="17">
        <v>0.1</v>
      </c>
      <c r="J105" s="17">
        <v>0.35</v>
      </c>
      <c r="K105" s="17">
        <v>0.08</v>
      </c>
      <c r="L105" s="17">
        <v>0.02</v>
      </c>
      <c r="M105" s="17">
        <v>0.05</v>
      </c>
      <c r="N105" s="19">
        <v>1</v>
      </c>
      <c r="O105" s="20"/>
      <c r="P105" s="22"/>
      <c r="Q105" s="54"/>
      <c r="R105" s="52"/>
      <c r="S105" s="1"/>
      <c r="T105" s="1"/>
      <c r="U105" s="1"/>
    </row>
    <row r="106" spans="1:21" ht="18" x14ac:dyDescent="0.3">
      <c r="A106" s="1"/>
      <c r="B106" s="23">
        <v>1</v>
      </c>
      <c r="C106" s="24" t="s">
        <v>69</v>
      </c>
      <c r="D106" s="25">
        <v>1</v>
      </c>
      <c r="E106" s="25">
        <v>1</v>
      </c>
      <c r="F106" s="25">
        <v>1</v>
      </c>
      <c r="G106" s="25">
        <v>1</v>
      </c>
      <c r="H106" s="25">
        <v>1</v>
      </c>
      <c r="I106" s="25">
        <v>1</v>
      </c>
      <c r="J106" s="25">
        <v>1</v>
      </c>
      <c r="K106" s="25">
        <v>1</v>
      </c>
      <c r="L106" s="26">
        <v>0</v>
      </c>
      <c r="M106" s="26">
        <v>1</v>
      </c>
      <c r="N106" s="27">
        <v>0.98</v>
      </c>
      <c r="O106" s="28">
        <v>0</v>
      </c>
      <c r="P106" s="27">
        <v>0.98</v>
      </c>
      <c r="Q106" s="54"/>
      <c r="R106" s="52"/>
      <c r="S106" s="1"/>
      <c r="T106" s="1"/>
      <c r="U106" s="1"/>
    </row>
    <row r="107" spans="1:21" ht="18" x14ac:dyDescent="0.3">
      <c r="A107" s="1"/>
      <c r="B107" s="23">
        <v>2</v>
      </c>
      <c r="C107" s="24" t="s">
        <v>70</v>
      </c>
      <c r="D107" s="25">
        <v>1</v>
      </c>
      <c r="E107" s="25">
        <v>1</v>
      </c>
      <c r="F107" s="25">
        <v>1</v>
      </c>
      <c r="G107" s="25">
        <v>1</v>
      </c>
      <c r="H107" s="25">
        <v>1</v>
      </c>
      <c r="I107" s="25">
        <v>0.99329999999999996</v>
      </c>
      <c r="J107" s="25">
        <v>0.8</v>
      </c>
      <c r="K107" s="25">
        <v>1</v>
      </c>
      <c r="L107" s="26">
        <v>0</v>
      </c>
      <c r="M107" s="26">
        <v>1</v>
      </c>
      <c r="N107" s="27">
        <v>0.9093</v>
      </c>
      <c r="O107" s="28">
        <v>0</v>
      </c>
      <c r="P107" s="27">
        <v>0.9093</v>
      </c>
      <c r="Q107" s="54"/>
      <c r="R107" s="52"/>
      <c r="S107" s="1"/>
      <c r="T107" s="1"/>
      <c r="U107" s="1"/>
    </row>
    <row r="108" spans="1:21" ht="18" x14ac:dyDescent="0.3">
      <c r="A108" s="1"/>
      <c r="B108" s="23">
        <v>3</v>
      </c>
      <c r="C108" s="24" t="s">
        <v>71</v>
      </c>
      <c r="D108" s="25">
        <v>1</v>
      </c>
      <c r="E108" s="25">
        <v>1</v>
      </c>
      <c r="F108" s="25">
        <v>1</v>
      </c>
      <c r="G108" s="25">
        <v>1</v>
      </c>
      <c r="H108" s="25">
        <v>1</v>
      </c>
      <c r="I108" s="25">
        <v>1</v>
      </c>
      <c r="J108" s="25">
        <v>1</v>
      </c>
      <c r="K108" s="25">
        <v>1</v>
      </c>
      <c r="L108" s="26">
        <v>0</v>
      </c>
      <c r="M108" s="26">
        <v>1</v>
      </c>
      <c r="N108" s="27">
        <v>0.98</v>
      </c>
      <c r="O108" s="28">
        <v>0</v>
      </c>
      <c r="P108" s="27">
        <v>0.98</v>
      </c>
      <c r="Q108" s="54"/>
      <c r="R108" s="52"/>
      <c r="S108" s="1"/>
      <c r="T108" s="1"/>
      <c r="U108" s="1"/>
    </row>
    <row r="109" spans="1:21" ht="18" x14ac:dyDescent="0.3">
      <c r="A109" s="1"/>
      <c r="B109" s="23">
        <v>4</v>
      </c>
      <c r="C109" s="24" t="s">
        <v>72</v>
      </c>
      <c r="D109" s="25">
        <v>1</v>
      </c>
      <c r="E109" s="25">
        <v>1</v>
      </c>
      <c r="F109" s="25">
        <v>1</v>
      </c>
      <c r="G109" s="25">
        <v>1</v>
      </c>
      <c r="H109" s="25">
        <v>1</v>
      </c>
      <c r="I109" s="25">
        <v>0.99870000000000003</v>
      </c>
      <c r="J109" s="25">
        <v>1</v>
      </c>
      <c r="K109" s="25">
        <v>1</v>
      </c>
      <c r="L109" s="26">
        <v>0</v>
      </c>
      <c r="M109" s="26">
        <v>1</v>
      </c>
      <c r="N109" s="27">
        <v>0.97989999999999999</v>
      </c>
      <c r="O109" s="28">
        <v>0</v>
      </c>
      <c r="P109" s="27">
        <v>0.97989999999999999</v>
      </c>
      <c r="Q109" s="54"/>
      <c r="R109" s="52"/>
      <c r="S109" s="1"/>
      <c r="T109" s="1"/>
      <c r="U109" s="1"/>
    </row>
    <row r="110" spans="1:21" ht="18" x14ac:dyDescent="0.3">
      <c r="A110" s="1"/>
      <c r="B110" s="23">
        <v>5</v>
      </c>
      <c r="C110" s="24" t="s">
        <v>73</v>
      </c>
      <c r="D110" s="25">
        <v>1</v>
      </c>
      <c r="E110" s="25">
        <v>1</v>
      </c>
      <c r="F110" s="25">
        <v>1</v>
      </c>
      <c r="G110" s="25">
        <v>1</v>
      </c>
      <c r="H110" s="25">
        <v>1</v>
      </c>
      <c r="I110" s="25">
        <v>0.91749999999999998</v>
      </c>
      <c r="J110" s="25">
        <v>1</v>
      </c>
      <c r="K110" s="25">
        <v>1</v>
      </c>
      <c r="L110" s="26">
        <v>0</v>
      </c>
      <c r="M110" s="26">
        <v>1</v>
      </c>
      <c r="N110" s="27">
        <v>0.9718</v>
      </c>
      <c r="O110" s="28">
        <v>0</v>
      </c>
      <c r="P110" s="27">
        <v>0.9718</v>
      </c>
      <c r="Q110" s="54"/>
      <c r="R110" s="52"/>
      <c r="S110" s="1"/>
      <c r="T110" s="1"/>
      <c r="U110" s="1"/>
    </row>
    <row r="111" spans="1:21" ht="18" x14ac:dyDescent="0.3">
      <c r="A111" s="1"/>
      <c r="B111" s="23">
        <v>6</v>
      </c>
      <c r="C111" s="24" t="s">
        <v>74</v>
      </c>
      <c r="D111" s="25">
        <v>1</v>
      </c>
      <c r="E111" s="25">
        <v>1</v>
      </c>
      <c r="F111" s="25">
        <v>1</v>
      </c>
      <c r="G111" s="25">
        <v>0.98529999999999995</v>
      </c>
      <c r="H111" s="25">
        <v>1</v>
      </c>
      <c r="I111" s="25">
        <v>1</v>
      </c>
      <c r="J111" s="25">
        <v>1</v>
      </c>
      <c r="K111" s="25">
        <v>1</v>
      </c>
      <c r="L111" s="26">
        <v>0</v>
      </c>
      <c r="M111" s="26">
        <v>1</v>
      </c>
      <c r="N111" s="27">
        <v>0.97850000000000004</v>
      </c>
      <c r="O111" s="28">
        <v>0</v>
      </c>
      <c r="P111" s="27">
        <v>0.97850000000000004</v>
      </c>
      <c r="Q111" s="54"/>
      <c r="R111" s="52"/>
      <c r="S111" s="1"/>
      <c r="T111" s="1"/>
      <c r="U111" s="1"/>
    </row>
    <row r="112" spans="1:21" x14ac:dyDescent="0.3">
      <c r="A112" s="1"/>
      <c r="B112" s="59" t="s">
        <v>27</v>
      </c>
      <c r="C112" s="60"/>
      <c r="D112" s="31">
        <v>1</v>
      </c>
      <c r="E112" s="31">
        <v>1</v>
      </c>
      <c r="F112" s="31">
        <v>1</v>
      </c>
      <c r="G112" s="31">
        <v>1</v>
      </c>
      <c r="H112" s="31">
        <v>1</v>
      </c>
      <c r="I112" s="31">
        <v>0.98</v>
      </c>
      <c r="J112" s="31">
        <v>0.97</v>
      </c>
      <c r="K112" s="31">
        <v>1</v>
      </c>
      <c r="L112" s="31">
        <v>0</v>
      </c>
      <c r="M112" s="31">
        <v>1</v>
      </c>
      <c r="N112" s="31">
        <v>0.97</v>
      </c>
      <c r="O112" s="31">
        <v>0</v>
      </c>
      <c r="P112" s="31">
        <v>0.97</v>
      </c>
      <c r="Q112" s="54"/>
      <c r="R112" s="52"/>
      <c r="S112" s="1"/>
      <c r="T112" s="1"/>
      <c r="U112" s="1"/>
    </row>
    <row r="113" spans="1:2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52"/>
      <c r="R113" s="52"/>
      <c r="S113" s="1"/>
      <c r="T113" s="1"/>
      <c r="U113" s="1"/>
    </row>
    <row r="114" spans="1:2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52"/>
      <c r="R114" s="52"/>
      <c r="S114" s="1"/>
      <c r="T114" s="1"/>
      <c r="U114" s="1"/>
    </row>
    <row r="115" spans="1:2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52"/>
      <c r="R115" s="52"/>
      <c r="S115" s="1"/>
      <c r="T115" s="1"/>
      <c r="U115" s="1"/>
    </row>
    <row r="116" spans="1:21" ht="15.6" x14ac:dyDescent="0.3">
      <c r="A116" s="1"/>
      <c r="B116" s="3"/>
      <c r="C116" s="4" t="s">
        <v>75</v>
      </c>
      <c r="D116" s="3"/>
      <c r="E116" s="3"/>
      <c r="F116" s="3"/>
      <c r="G116" s="3"/>
      <c r="H116" s="3"/>
      <c r="I116" s="3"/>
      <c r="J116" s="3"/>
      <c r="K116" s="3"/>
      <c r="L116" s="1"/>
      <c r="M116" s="1"/>
      <c r="N116" s="1"/>
      <c r="O116" s="1"/>
      <c r="P116" s="5" t="s">
        <v>2</v>
      </c>
      <c r="Q116" s="54"/>
      <c r="R116" s="52"/>
      <c r="S116" s="1"/>
      <c r="T116" s="1"/>
      <c r="U116" s="1"/>
    </row>
    <row r="117" spans="1:21" ht="15.6" x14ac:dyDescent="0.3">
      <c r="A117" s="1"/>
      <c r="B117" s="3"/>
      <c r="C117" s="6">
        <v>46174</v>
      </c>
      <c r="D117" s="3"/>
      <c r="E117" s="3"/>
      <c r="F117" s="3"/>
      <c r="G117" s="3"/>
      <c r="H117" s="3"/>
      <c r="I117" s="3"/>
      <c r="J117" s="3"/>
      <c r="K117" s="3"/>
      <c r="L117" s="1"/>
      <c r="M117" s="1"/>
      <c r="N117" s="1"/>
      <c r="O117" s="1"/>
      <c r="P117" s="7">
        <v>0.95</v>
      </c>
      <c r="Q117" s="54"/>
      <c r="R117" s="52"/>
      <c r="S117" s="1"/>
      <c r="T117" s="1"/>
      <c r="U117" s="1"/>
    </row>
    <row r="118" spans="1:21" ht="42" x14ac:dyDescent="0.3">
      <c r="A118" s="1"/>
      <c r="B118" s="55" t="s">
        <v>3</v>
      </c>
      <c r="C118" s="55" t="s">
        <v>4</v>
      </c>
      <c r="D118" s="8" t="s">
        <v>5</v>
      </c>
      <c r="E118" s="8" t="s">
        <v>6</v>
      </c>
      <c r="F118" s="9" t="s">
        <v>7</v>
      </c>
      <c r="G118" s="9" t="s">
        <v>8</v>
      </c>
      <c r="H118" s="9" t="s">
        <v>9</v>
      </c>
      <c r="I118" s="10" t="s">
        <v>10</v>
      </c>
      <c r="J118" s="10" t="s">
        <v>11</v>
      </c>
      <c r="K118" s="11" t="s">
        <v>12</v>
      </c>
      <c r="L118" s="10" t="s">
        <v>13</v>
      </c>
      <c r="M118" s="11" t="s">
        <v>14</v>
      </c>
      <c r="N118" s="12" t="s">
        <v>15</v>
      </c>
      <c r="O118" s="57" t="s">
        <v>16</v>
      </c>
      <c r="P118" s="57" t="s">
        <v>17</v>
      </c>
      <c r="Q118" s="54"/>
      <c r="R118" s="52"/>
      <c r="S118" s="1"/>
      <c r="T118" s="1"/>
      <c r="U118" s="1"/>
    </row>
    <row r="119" spans="1:21" x14ac:dyDescent="0.3">
      <c r="A119" s="1"/>
      <c r="B119" s="56"/>
      <c r="C119" s="56"/>
      <c r="D119" s="13" t="s">
        <v>18</v>
      </c>
      <c r="E119" s="13" t="s">
        <v>18</v>
      </c>
      <c r="F119" s="13" t="s">
        <v>18</v>
      </c>
      <c r="G119" s="13" t="s">
        <v>18</v>
      </c>
      <c r="H119" s="13" t="s">
        <v>18</v>
      </c>
      <c r="I119" s="13" t="s">
        <v>18</v>
      </c>
      <c r="J119" s="13" t="s">
        <v>18</v>
      </c>
      <c r="K119" s="13" t="s">
        <v>18</v>
      </c>
      <c r="L119" s="13" t="s">
        <v>18</v>
      </c>
      <c r="M119" s="13" t="s">
        <v>18</v>
      </c>
      <c r="N119" s="14" t="s">
        <v>29</v>
      </c>
      <c r="O119" s="58"/>
      <c r="P119" s="58"/>
      <c r="Q119" s="54"/>
      <c r="R119" s="52"/>
      <c r="S119" s="1"/>
      <c r="T119" s="1"/>
      <c r="U119" s="1"/>
    </row>
    <row r="120" spans="1:21" x14ac:dyDescent="0.3">
      <c r="A120" s="1"/>
      <c r="B120" s="59" t="s">
        <v>20</v>
      </c>
      <c r="C120" s="60"/>
      <c r="D120" s="16">
        <v>0.1</v>
      </c>
      <c r="E120" s="16">
        <v>0.05</v>
      </c>
      <c r="F120" s="16">
        <v>0.1</v>
      </c>
      <c r="G120" s="16">
        <v>0.1</v>
      </c>
      <c r="H120" s="16">
        <v>0.05</v>
      </c>
      <c r="I120" s="17">
        <v>0.1</v>
      </c>
      <c r="J120" s="17">
        <v>0.35</v>
      </c>
      <c r="K120" s="17">
        <v>0.08</v>
      </c>
      <c r="L120" s="17">
        <v>0.02</v>
      </c>
      <c r="M120" s="17">
        <v>0.05</v>
      </c>
      <c r="N120" s="19">
        <v>1</v>
      </c>
      <c r="O120" s="20"/>
      <c r="P120" s="22"/>
      <c r="Q120" s="54"/>
      <c r="R120" s="52"/>
      <c r="S120" s="1"/>
      <c r="T120" s="1"/>
      <c r="U120" s="1"/>
    </row>
    <row r="121" spans="1:21" ht="18" x14ac:dyDescent="0.3">
      <c r="A121" s="1"/>
      <c r="B121" s="23">
        <v>1</v>
      </c>
      <c r="C121" s="24" t="s">
        <v>76</v>
      </c>
      <c r="D121" s="25">
        <v>1</v>
      </c>
      <c r="E121" s="25">
        <v>1</v>
      </c>
      <c r="F121" s="25">
        <v>1</v>
      </c>
      <c r="G121" s="25">
        <v>1</v>
      </c>
      <c r="H121" s="25">
        <v>1</v>
      </c>
      <c r="I121" s="25">
        <v>1</v>
      </c>
      <c r="J121" s="25">
        <v>1</v>
      </c>
      <c r="K121" s="25">
        <v>1</v>
      </c>
      <c r="L121" s="26">
        <v>0</v>
      </c>
      <c r="M121" s="26">
        <v>1</v>
      </c>
      <c r="N121" s="27">
        <v>0.98</v>
      </c>
      <c r="O121" s="28">
        <v>0</v>
      </c>
      <c r="P121" s="27">
        <v>0.98</v>
      </c>
      <c r="Q121" s="54"/>
      <c r="R121" s="52"/>
      <c r="S121" s="1"/>
      <c r="T121" s="1"/>
      <c r="U121" s="1"/>
    </row>
    <row r="122" spans="1:21" ht="18" x14ac:dyDescent="0.3">
      <c r="A122" s="1"/>
      <c r="B122" s="23">
        <v>2</v>
      </c>
      <c r="C122" s="24" t="s">
        <v>77</v>
      </c>
      <c r="D122" s="25">
        <v>1</v>
      </c>
      <c r="E122" s="25">
        <v>0.96</v>
      </c>
      <c r="F122" s="25">
        <v>1</v>
      </c>
      <c r="G122" s="25">
        <v>1</v>
      </c>
      <c r="H122" s="25">
        <v>1</v>
      </c>
      <c r="I122" s="25">
        <v>1</v>
      </c>
      <c r="J122" s="25">
        <v>1</v>
      </c>
      <c r="K122" s="25">
        <v>1</v>
      </c>
      <c r="L122" s="26">
        <v>0</v>
      </c>
      <c r="M122" s="26">
        <v>0.75</v>
      </c>
      <c r="N122" s="27">
        <v>0.96550000000000002</v>
      </c>
      <c r="O122" s="28">
        <v>0</v>
      </c>
      <c r="P122" s="27">
        <v>0.96550000000000002</v>
      </c>
      <c r="Q122" s="54"/>
      <c r="R122" s="52"/>
      <c r="S122" s="1"/>
      <c r="T122" s="1"/>
      <c r="U122" s="1"/>
    </row>
    <row r="123" spans="1:21" ht="18" x14ac:dyDescent="0.3">
      <c r="A123" s="1"/>
      <c r="B123" s="23">
        <v>3</v>
      </c>
      <c r="C123" s="24" t="s">
        <v>78</v>
      </c>
      <c r="D123" s="25">
        <v>1</v>
      </c>
      <c r="E123" s="25">
        <v>1</v>
      </c>
      <c r="F123" s="25">
        <v>1</v>
      </c>
      <c r="G123" s="25">
        <v>1</v>
      </c>
      <c r="H123" s="25">
        <v>1</v>
      </c>
      <c r="I123" s="25">
        <v>1</v>
      </c>
      <c r="J123" s="25">
        <v>1</v>
      </c>
      <c r="K123" s="25">
        <v>0.5</v>
      </c>
      <c r="L123" s="26">
        <v>0</v>
      </c>
      <c r="M123" s="26">
        <v>1</v>
      </c>
      <c r="N123" s="27">
        <v>0.94</v>
      </c>
      <c r="O123" s="28">
        <v>0</v>
      </c>
      <c r="P123" s="27">
        <v>0.94</v>
      </c>
      <c r="Q123" s="54"/>
      <c r="R123" s="52"/>
      <c r="S123" s="1"/>
      <c r="T123" s="1"/>
      <c r="U123" s="1"/>
    </row>
    <row r="124" spans="1:21" ht="18" x14ac:dyDescent="0.3">
      <c r="A124" s="1"/>
      <c r="B124" s="23">
        <v>4</v>
      </c>
      <c r="C124" s="24" t="s">
        <v>79</v>
      </c>
      <c r="D124" s="25">
        <v>1</v>
      </c>
      <c r="E124" s="25">
        <v>1</v>
      </c>
      <c r="F124" s="25">
        <v>1</v>
      </c>
      <c r="G124" s="25">
        <v>1</v>
      </c>
      <c r="H124" s="25">
        <v>1</v>
      </c>
      <c r="I124" s="25">
        <v>0.97970000000000002</v>
      </c>
      <c r="J124" s="25">
        <v>0.8</v>
      </c>
      <c r="K124" s="25">
        <v>0.5</v>
      </c>
      <c r="L124" s="26">
        <v>1</v>
      </c>
      <c r="M124" s="26">
        <v>1</v>
      </c>
      <c r="N124" s="27">
        <v>0.88800000000000001</v>
      </c>
      <c r="O124" s="28">
        <v>0</v>
      </c>
      <c r="P124" s="27">
        <v>0.88800000000000001</v>
      </c>
      <c r="Q124" s="54"/>
      <c r="R124" s="52"/>
      <c r="S124" s="1"/>
      <c r="T124" s="1"/>
      <c r="U124" s="1"/>
    </row>
    <row r="125" spans="1:21" ht="18" x14ac:dyDescent="0.3">
      <c r="A125" s="1"/>
      <c r="B125" s="23">
        <v>5</v>
      </c>
      <c r="C125" s="24" t="s">
        <v>80</v>
      </c>
      <c r="D125" s="25">
        <v>1</v>
      </c>
      <c r="E125" s="25">
        <v>0.99</v>
      </c>
      <c r="F125" s="25">
        <v>1</v>
      </c>
      <c r="G125" s="25">
        <v>1</v>
      </c>
      <c r="H125" s="25">
        <v>1</v>
      </c>
      <c r="I125" s="25">
        <v>0.99260000000000004</v>
      </c>
      <c r="J125" s="25">
        <v>1</v>
      </c>
      <c r="K125" s="25">
        <v>1</v>
      </c>
      <c r="L125" s="26">
        <v>0</v>
      </c>
      <c r="M125" s="26">
        <v>1</v>
      </c>
      <c r="N125" s="27">
        <v>0.9788</v>
      </c>
      <c r="O125" s="28">
        <v>0</v>
      </c>
      <c r="P125" s="27">
        <v>0.9788</v>
      </c>
      <c r="Q125" s="54"/>
      <c r="R125" s="52"/>
      <c r="S125" s="1"/>
      <c r="T125" s="1"/>
      <c r="U125" s="1"/>
    </row>
    <row r="126" spans="1:21" ht="18" x14ac:dyDescent="0.3">
      <c r="A126" s="1"/>
      <c r="B126" s="23">
        <v>6</v>
      </c>
      <c r="C126" s="24" t="s">
        <v>81</v>
      </c>
      <c r="D126" s="25">
        <v>1</v>
      </c>
      <c r="E126" s="25">
        <v>1</v>
      </c>
      <c r="F126" s="25">
        <v>1</v>
      </c>
      <c r="G126" s="25">
        <v>1</v>
      </c>
      <c r="H126" s="25">
        <v>1</v>
      </c>
      <c r="I126" s="25">
        <v>0.98460000000000003</v>
      </c>
      <c r="J126" s="25">
        <v>0.8</v>
      </c>
      <c r="K126" s="25">
        <v>1</v>
      </c>
      <c r="L126" s="26">
        <v>1</v>
      </c>
      <c r="M126" s="26">
        <v>1</v>
      </c>
      <c r="N126" s="27">
        <v>0.92849999999999999</v>
      </c>
      <c r="O126" s="28">
        <v>0</v>
      </c>
      <c r="P126" s="27">
        <v>0.92849999999999999</v>
      </c>
      <c r="Q126" s="54"/>
      <c r="R126" s="52"/>
      <c r="S126" s="1"/>
      <c r="T126" s="1"/>
      <c r="U126" s="1"/>
    </row>
    <row r="127" spans="1:21" ht="72" x14ac:dyDescent="0.3">
      <c r="A127" s="1"/>
      <c r="B127" s="23">
        <v>7</v>
      </c>
      <c r="C127" s="33" t="s">
        <v>82</v>
      </c>
      <c r="D127" s="25">
        <v>1</v>
      </c>
      <c r="E127" s="25">
        <v>1</v>
      </c>
      <c r="F127" s="25">
        <v>1</v>
      </c>
      <c r="G127" s="25">
        <v>1</v>
      </c>
      <c r="H127" s="25">
        <v>1</v>
      </c>
      <c r="I127" s="25">
        <v>0.99229999999999996</v>
      </c>
      <c r="J127" s="25">
        <v>1</v>
      </c>
      <c r="K127" s="25">
        <v>1</v>
      </c>
      <c r="L127" s="26">
        <v>0</v>
      </c>
      <c r="M127" s="26">
        <v>0</v>
      </c>
      <c r="N127" s="27">
        <v>0.97809999999999997</v>
      </c>
      <c r="O127" s="28">
        <v>0</v>
      </c>
      <c r="P127" s="27">
        <v>0.97809999999999997</v>
      </c>
      <c r="Q127" s="54"/>
      <c r="R127" s="52"/>
      <c r="S127" s="1"/>
      <c r="T127" s="1"/>
      <c r="U127" s="1"/>
    </row>
    <row r="128" spans="1:21" x14ac:dyDescent="0.3">
      <c r="A128" s="1"/>
      <c r="B128" s="59" t="s">
        <v>27</v>
      </c>
      <c r="C128" s="60"/>
      <c r="D128" s="31">
        <v>1</v>
      </c>
      <c r="E128" s="31">
        <v>0.99</v>
      </c>
      <c r="F128" s="31">
        <v>1</v>
      </c>
      <c r="G128" s="31">
        <v>1</v>
      </c>
      <c r="H128" s="31">
        <v>1</v>
      </c>
      <c r="I128" s="31">
        <v>0.99</v>
      </c>
      <c r="J128" s="31">
        <v>0.94</v>
      </c>
      <c r="K128" s="31">
        <v>0.86</v>
      </c>
      <c r="L128" s="31">
        <v>0.28999999999999998</v>
      </c>
      <c r="M128" s="31">
        <v>0.82</v>
      </c>
      <c r="N128" s="31">
        <v>0.95</v>
      </c>
      <c r="O128" s="31">
        <v>0</v>
      </c>
      <c r="P128" s="31">
        <v>0.95</v>
      </c>
      <c r="Q128" s="54"/>
      <c r="R128" s="52"/>
      <c r="S128" s="1"/>
      <c r="T128" s="1"/>
      <c r="U128" s="1"/>
    </row>
    <row r="129" spans="1:2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52"/>
      <c r="R129" s="52"/>
      <c r="S129" s="1"/>
      <c r="T129" s="1"/>
      <c r="U129" s="1"/>
    </row>
    <row r="130" spans="1:2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52"/>
      <c r="R130" s="52"/>
      <c r="S130" s="1"/>
      <c r="T130" s="1"/>
      <c r="U130" s="1"/>
    </row>
    <row r="131" spans="1:21" ht="15.6" x14ac:dyDescent="0.3">
      <c r="A131" s="1"/>
      <c r="B131" s="3"/>
      <c r="C131" s="4" t="s">
        <v>83</v>
      </c>
      <c r="D131" s="3"/>
      <c r="E131" s="3"/>
      <c r="F131" s="3"/>
      <c r="G131" s="3"/>
      <c r="H131" s="3"/>
      <c r="I131" s="3"/>
      <c r="J131" s="3"/>
      <c r="K131" s="3"/>
      <c r="L131" s="1"/>
      <c r="M131" s="1"/>
      <c r="N131" s="1"/>
      <c r="O131" s="1"/>
      <c r="P131" s="5" t="s">
        <v>2</v>
      </c>
      <c r="Q131" s="54"/>
      <c r="R131" s="52"/>
      <c r="S131" s="1"/>
      <c r="T131" s="1"/>
      <c r="U131" s="1"/>
    </row>
    <row r="132" spans="1:21" ht="15.6" x14ac:dyDescent="0.3">
      <c r="A132" s="1"/>
      <c r="B132" s="3"/>
      <c r="C132" s="6">
        <v>46174</v>
      </c>
      <c r="D132" s="3"/>
      <c r="E132" s="3"/>
      <c r="F132" s="3"/>
      <c r="G132" s="3"/>
      <c r="H132" s="3"/>
      <c r="I132" s="3"/>
      <c r="J132" s="3"/>
      <c r="K132" s="3"/>
      <c r="L132" s="1"/>
      <c r="M132" s="1"/>
      <c r="N132" s="1"/>
      <c r="O132" s="1"/>
      <c r="P132" s="7">
        <v>0.92</v>
      </c>
      <c r="Q132" s="54"/>
      <c r="R132" s="52"/>
      <c r="S132" s="1"/>
      <c r="T132" s="1"/>
      <c r="U132" s="1"/>
    </row>
    <row r="133" spans="1:21" ht="42" x14ac:dyDescent="0.3">
      <c r="A133" s="1"/>
      <c r="B133" s="55" t="s">
        <v>3</v>
      </c>
      <c r="C133" s="55" t="s">
        <v>4</v>
      </c>
      <c r="D133" s="8" t="s">
        <v>5</v>
      </c>
      <c r="E133" s="8" t="s">
        <v>6</v>
      </c>
      <c r="F133" s="9" t="s">
        <v>7</v>
      </c>
      <c r="G133" s="9" t="s">
        <v>8</v>
      </c>
      <c r="H133" s="9" t="s">
        <v>9</v>
      </c>
      <c r="I133" s="10" t="s">
        <v>10</v>
      </c>
      <c r="J133" s="10" t="s">
        <v>11</v>
      </c>
      <c r="K133" s="11" t="s">
        <v>12</v>
      </c>
      <c r="L133" s="10" t="s">
        <v>13</v>
      </c>
      <c r="M133" s="11" t="s">
        <v>14</v>
      </c>
      <c r="N133" s="12" t="s">
        <v>15</v>
      </c>
      <c r="O133" s="57" t="s">
        <v>16</v>
      </c>
      <c r="P133" s="57" t="s">
        <v>17</v>
      </c>
      <c r="Q133" s="54"/>
      <c r="R133" s="52"/>
      <c r="S133" s="1"/>
      <c r="T133" s="1"/>
      <c r="U133" s="1"/>
    </row>
    <row r="134" spans="1:21" x14ac:dyDescent="0.3">
      <c r="A134" s="1"/>
      <c r="B134" s="56"/>
      <c r="C134" s="56"/>
      <c r="D134" s="13" t="s">
        <v>18</v>
      </c>
      <c r="E134" s="13" t="s">
        <v>18</v>
      </c>
      <c r="F134" s="13" t="s">
        <v>18</v>
      </c>
      <c r="G134" s="13" t="s">
        <v>18</v>
      </c>
      <c r="H134" s="13" t="s">
        <v>18</v>
      </c>
      <c r="I134" s="13" t="s">
        <v>18</v>
      </c>
      <c r="J134" s="13" t="s">
        <v>18</v>
      </c>
      <c r="K134" s="13" t="s">
        <v>18</v>
      </c>
      <c r="L134" s="13" t="s">
        <v>18</v>
      </c>
      <c r="M134" s="13" t="s">
        <v>18</v>
      </c>
      <c r="N134" s="14" t="s">
        <v>29</v>
      </c>
      <c r="O134" s="58"/>
      <c r="P134" s="58"/>
      <c r="Q134" s="54"/>
      <c r="R134" s="52"/>
      <c r="S134" s="1"/>
      <c r="T134" s="1"/>
      <c r="U134" s="1"/>
    </row>
    <row r="135" spans="1:21" x14ac:dyDescent="0.3">
      <c r="A135" s="1"/>
      <c r="B135" s="59" t="s">
        <v>20</v>
      </c>
      <c r="C135" s="60"/>
      <c r="D135" s="16">
        <v>0.1</v>
      </c>
      <c r="E135" s="16">
        <v>0.05</v>
      </c>
      <c r="F135" s="16">
        <v>0.1</v>
      </c>
      <c r="G135" s="16">
        <v>0.1</v>
      </c>
      <c r="H135" s="16">
        <v>0.05</v>
      </c>
      <c r="I135" s="17">
        <v>0.1</v>
      </c>
      <c r="J135" s="17">
        <v>0.35</v>
      </c>
      <c r="K135" s="17">
        <v>0.08</v>
      </c>
      <c r="L135" s="17">
        <v>0.02</v>
      </c>
      <c r="M135" s="17">
        <v>0.05</v>
      </c>
      <c r="N135" s="19">
        <v>1</v>
      </c>
      <c r="O135" s="20"/>
      <c r="P135" s="22"/>
      <c r="Q135" s="54"/>
      <c r="R135" s="52"/>
      <c r="S135" s="1"/>
      <c r="T135" s="1"/>
      <c r="U135" s="1"/>
    </row>
    <row r="136" spans="1:21" ht="18" x14ac:dyDescent="0.3">
      <c r="A136" s="1"/>
      <c r="B136" s="23">
        <v>1</v>
      </c>
      <c r="C136" s="24" t="s">
        <v>84</v>
      </c>
      <c r="D136" s="25">
        <v>1</v>
      </c>
      <c r="E136" s="25">
        <v>1</v>
      </c>
      <c r="F136" s="25">
        <v>1</v>
      </c>
      <c r="G136" s="25">
        <v>1</v>
      </c>
      <c r="H136" s="25">
        <v>1</v>
      </c>
      <c r="I136" s="25">
        <v>0.99460000000000004</v>
      </c>
      <c r="J136" s="25">
        <v>0.8</v>
      </c>
      <c r="K136" s="25">
        <v>1</v>
      </c>
      <c r="L136" s="26">
        <v>0</v>
      </c>
      <c r="M136" s="26">
        <v>1</v>
      </c>
      <c r="N136" s="27">
        <v>0.90949999999999998</v>
      </c>
      <c r="O136" s="28">
        <v>0</v>
      </c>
      <c r="P136" s="27">
        <v>0.90949999999999998</v>
      </c>
      <c r="Q136" s="54"/>
      <c r="R136" s="52"/>
      <c r="S136" s="1"/>
      <c r="T136" s="1"/>
      <c r="U136" s="1"/>
    </row>
    <row r="137" spans="1:21" ht="18" x14ac:dyDescent="0.3">
      <c r="A137" s="1"/>
      <c r="B137" s="23">
        <v>2</v>
      </c>
      <c r="C137" s="24" t="s">
        <v>85</v>
      </c>
      <c r="D137" s="25">
        <v>1</v>
      </c>
      <c r="E137" s="25">
        <v>1</v>
      </c>
      <c r="F137" s="25">
        <v>1</v>
      </c>
      <c r="G137" s="25">
        <v>1</v>
      </c>
      <c r="H137" s="25">
        <v>1</v>
      </c>
      <c r="I137" s="25">
        <v>0.99790000000000001</v>
      </c>
      <c r="J137" s="25">
        <v>1</v>
      </c>
      <c r="K137" s="25">
        <v>1</v>
      </c>
      <c r="L137" s="26">
        <v>0</v>
      </c>
      <c r="M137" s="26">
        <v>1</v>
      </c>
      <c r="N137" s="27">
        <v>0.9798</v>
      </c>
      <c r="O137" s="28">
        <v>0</v>
      </c>
      <c r="P137" s="27">
        <v>0.9798</v>
      </c>
      <c r="Q137" s="54"/>
      <c r="R137" s="52"/>
      <c r="S137" s="1"/>
      <c r="T137" s="1"/>
      <c r="U137" s="1"/>
    </row>
    <row r="138" spans="1:21" ht="18" x14ac:dyDescent="0.3">
      <c r="A138" s="1"/>
      <c r="B138" s="23">
        <v>3</v>
      </c>
      <c r="C138" s="24" t="s">
        <v>86</v>
      </c>
      <c r="D138" s="25">
        <v>1</v>
      </c>
      <c r="E138" s="25">
        <v>1</v>
      </c>
      <c r="F138" s="25">
        <v>1</v>
      </c>
      <c r="G138" s="25">
        <v>1</v>
      </c>
      <c r="H138" s="25">
        <v>1</v>
      </c>
      <c r="I138" s="25">
        <v>0.97919999999999996</v>
      </c>
      <c r="J138" s="25">
        <v>0.8</v>
      </c>
      <c r="K138" s="25">
        <v>1</v>
      </c>
      <c r="L138" s="26">
        <v>1</v>
      </c>
      <c r="M138" s="26">
        <v>1</v>
      </c>
      <c r="N138" s="27">
        <v>0.92789999999999995</v>
      </c>
      <c r="O138" s="28">
        <v>0</v>
      </c>
      <c r="P138" s="27">
        <v>0.92789999999999995</v>
      </c>
      <c r="Q138" s="54"/>
      <c r="R138" s="52"/>
      <c r="S138" s="1"/>
      <c r="T138" s="1"/>
      <c r="U138" s="1"/>
    </row>
    <row r="139" spans="1:21" ht="18" x14ac:dyDescent="0.3">
      <c r="A139" s="1"/>
      <c r="B139" s="23">
        <v>4</v>
      </c>
      <c r="C139" s="24" t="s">
        <v>87</v>
      </c>
      <c r="D139" s="25">
        <v>1</v>
      </c>
      <c r="E139" s="25">
        <v>1</v>
      </c>
      <c r="F139" s="25">
        <v>1</v>
      </c>
      <c r="G139" s="25">
        <v>1</v>
      </c>
      <c r="H139" s="25">
        <v>1</v>
      </c>
      <c r="I139" s="25">
        <v>0.99329999999999996</v>
      </c>
      <c r="J139" s="25">
        <v>0.8</v>
      </c>
      <c r="K139" s="25">
        <v>0.5</v>
      </c>
      <c r="L139" s="26">
        <v>0</v>
      </c>
      <c r="M139" s="26">
        <v>1</v>
      </c>
      <c r="N139" s="27">
        <v>0.86929999999999996</v>
      </c>
      <c r="O139" s="28">
        <v>0</v>
      </c>
      <c r="P139" s="27">
        <v>0.86929999999999996</v>
      </c>
      <c r="Q139" s="54"/>
      <c r="R139" s="52"/>
      <c r="S139" s="1"/>
      <c r="T139" s="1"/>
      <c r="U139" s="1"/>
    </row>
    <row r="140" spans="1:21" ht="18" x14ac:dyDescent="0.3">
      <c r="A140" s="1"/>
      <c r="B140" s="23">
        <v>5</v>
      </c>
      <c r="C140" s="24" t="s">
        <v>88</v>
      </c>
      <c r="D140" s="25">
        <v>1</v>
      </c>
      <c r="E140" s="25">
        <v>1</v>
      </c>
      <c r="F140" s="25">
        <v>1</v>
      </c>
      <c r="G140" s="25">
        <v>0.98740000000000006</v>
      </c>
      <c r="H140" s="25">
        <v>1</v>
      </c>
      <c r="I140" s="25">
        <v>0.98619999999999997</v>
      </c>
      <c r="J140" s="25">
        <v>0.8</v>
      </c>
      <c r="K140" s="25">
        <v>1</v>
      </c>
      <c r="L140" s="26">
        <v>0</v>
      </c>
      <c r="M140" s="26">
        <v>1</v>
      </c>
      <c r="N140" s="27">
        <v>0.90739999999999998</v>
      </c>
      <c r="O140" s="28">
        <v>0.01</v>
      </c>
      <c r="P140" s="27">
        <v>0.89739999999999998</v>
      </c>
      <c r="Q140" s="54"/>
      <c r="R140" s="52"/>
      <c r="S140" s="1"/>
      <c r="T140" s="1"/>
      <c r="U140" s="1"/>
    </row>
    <row r="141" spans="1:21" x14ac:dyDescent="0.3">
      <c r="A141" s="1"/>
      <c r="B141" s="59" t="s">
        <v>27</v>
      </c>
      <c r="C141" s="60"/>
      <c r="D141" s="31">
        <v>1</v>
      </c>
      <c r="E141" s="31">
        <v>1</v>
      </c>
      <c r="F141" s="31">
        <v>1</v>
      </c>
      <c r="G141" s="31">
        <v>1</v>
      </c>
      <c r="H141" s="31">
        <v>1</v>
      </c>
      <c r="I141" s="31">
        <v>0.99</v>
      </c>
      <c r="J141" s="31">
        <v>0.84</v>
      </c>
      <c r="K141" s="31">
        <v>0.9</v>
      </c>
      <c r="L141" s="31">
        <v>0.2</v>
      </c>
      <c r="M141" s="31">
        <v>1</v>
      </c>
      <c r="N141" s="31">
        <v>0.92</v>
      </c>
      <c r="O141" s="31">
        <v>0</v>
      </c>
      <c r="P141" s="31">
        <v>0.92</v>
      </c>
      <c r="Q141" s="54"/>
      <c r="R141" s="52"/>
      <c r="S141" s="1"/>
      <c r="T141" s="1"/>
      <c r="U141" s="1"/>
    </row>
    <row r="142" spans="1:2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52"/>
      <c r="R142" s="52"/>
      <c r="S142" s="1"/>
      <c r="T142" s="1"/>
      <c r="U142" s="1"/>
    </row>
    <row r="143" spans="1:2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52"/>
      <c r="R143" s="52"/>
      <c r="S143" s="1"/>
      <c r="T143" s="1"/>
      <c r="U143" s="1"/>
    </row>
    <row r="144" spans="1:21" ht="15.6" x14ac:dyDescent="0.3">
      <c r="A144" s="1"/>
      <c r="B144" s="3"/>
      <c r="C144" s="4" t="s">
        <v>89</v>
      </c>
      <c r="D144" s="3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5" t="s">
        <v>2</v>
      </c>
      <c r="Q144" s="54"/>
      <c r="R144" s="52"/>
      <c r="S144" s="1"/>
      <c r="T144" s="1"/>
      <c r="U144" s="1"/>
    </row>
    <row r="145" spans="1:21" ht="15.6" x14ac:dyDescent="0.3">
      <c r="A145" s="1"/>
      <c r="B145" s="3"/>
      <c r="C145" s="6">
        <v>46174</v>
      </c>
      <c r="D145" s="3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7">
        <v>0.81</v>
      </c>
      <c r="Q145" s="54"/>
      <c r="R145" s="52"/>
      <c r="S145" s="1"/>
      <c r="T145" s="1"/>
      <c r="U145" s="1"/>
    </row>
    <row r="146" spans="1:21" ht="42" x14ac:dyDescent="0.3">
      <c r="A146" s="1"/>
      <c r="B146" s="55" t="s">
        <v>3</v>
      </c>
      <c r="C146" s="55" t="s">
        <v>4</v>
      </c>
      <c r="D146" s="8" t="s">
        <v>5</v>
      </c>
      <c r="E146" s="8" t="s">
        <v>6</v>
      </c>
      <c r="F146" s="9" t="s">
        <v>7</v>
      </c>
      <c r="G146" s="9" t="s">
        <v>8</v>
      </c>
      <c r="H146" s="9" t="s">
        <v>9</v>
      </c>
      <c r="I146" s="10" t="s">
        <v>10</v>
      </c>
      <c r="J146" s="10" t="s">
        <v>11</v>
      </c>
      <c r="K146" s="11" t="s">
        <v>12</v>
      </c>
      <c r="L146" s="10" t="s">
        <v>13</v>
      </c>
      <c r="M146" s="11" t="s">
        <v>14</v>
      </c>
      <c r="N146" s="12" t="s">
        <v>15</v>
      </c>
      <c r="O146" s="57" t="s">
        <v>16</v>
      </c>
      <c r="P146" s="57" t="s">
        <v>17</v>
      </c>
      <c r="Q146" s="54"/>
      <c r="R146" s="52"/>
      <c r="S146" s="1"/>
      <c r="T146" s="1"/>
      <c r="U146" s="1"/>
    </row>
    <row r="147" spans="1:21" x14ac:dyDescent="0.3">
      <c r="A147" s="1"/>
      <c r="B147" s="56"/>
      <c r="C147" s="56"/>
      <c r="D147" s="13" t="s">
        <v>18</v>
      </c>
      <c r="E147" s="13" t="s">
        <v>18</v>
      </c>
      <c r="F147" s="13" t="s">
        <v>18</v>
      </c>
      <c r="G147" s="13" t="s">
        <v>18</v>
      </c>
      <c r="H147" s="13" t="s">
        <v>18</v>
      </c>
      <c r="I147" s="13" t="s">
        <v>18</v>
      </c>
      <c r="J147" s="13" t="s">
        <v>18</v>
      </c>
      <c r="K147" s="13" t="s">
        <v>18</v>
      </c>
      <c r="L147" s="13" t="s">
        <v>18</v>
      </c>
      <c r="M147" s="13" t="s">
        <v>18</v>
      </c>
      <c r="N147" s="14" t="s">
        <v>29</v>
      </c>
      <c r="O147" s="58"/>
      <c r="P147" s="58"/>
      <c r="Q147" s="54"/>
      <c r="R147" s="52"/>
      <c r="S147" s="1"/>
      <c r="T147" s="1"/>
      <c r="U147" s="1"/>
    </row>
    <row r="148" spans="1:21" x14ac:dyDescent="0.3">
      <c r="A148" s="1"/>
      <c r="B148" s="59" t="s">
        <v>20</v>
      </c>
      <c r="C148" s="60"/>
      <c r="D148" s="16">
        <v>0.1</v>
      </c>
      <c r="E148" s="16">
        <v>0.05</v>
      </c>
      <c r="F148" s="16">
        <v>0.1</v>
      </c>
      <c r="G148" s="16">
        <v>0.1</v>
      </c>
      <c r="H148" s="16">
        <v>0.05</v>
      </c>
      <c r="I148" s="17">
        <v>0.1</v>
      </c>
      <c r="J148" s="17">
        <v>0.35</v>
      </c>
      <c r="K148" s="17">
        <v>0.08</v>
      </c>
      <c r="L148" s="17">
        <v>0.02</v>
      </c>
      <c r="M148" s="17">
        <v>0.05</v>
      </c>
      <c r="N148" s="19">
        <v>1</v>
      </c>
      <c r="O148" s="20"/>
      <c r="P148" s="22"/>
      <c r="Q148" s="54"/>
      <c r="R148" s="52"/>
      <c r="S148" s="1"/>
      <c r="T148" s="1"/>
      <c r="U148" s="1"/>
    </row>
    <row r="149" spans="1:21" ht="18" x14ac:dyDescent="0.3">
      <c r="A149" s="1"/>
      <c r="B149" s="23">
        <v>1</v>
      </c>
      <c r="C149" s="34" t="s">
        <v>90</v>
      </c>
      <c r="D149" s="25">
        <v>1</v>
      </c>
      <c r="E149" s="25">
        <v>1</v>
      </c>
      <c r="F149" s="25">
        <v>1</v>
      </c>
      <c r="G149" s="25">
        <v>0.99009999999999998</v>
      </c>
      <c r="H149" s="25">
        <v>1</v>
      </c>
      <c r="I149" s="25">
        <v>1</v>
      </c>
      <c r="J149" s="25">
        <v>0.8</v>
      </c>
      <c r="K149" s="25">
        <v>1</v>
      </c>
      <c r="L149" s="26">
        <v>0</v>
      </c>
      <c r="M149" s="26">
        <v>0.5</v>
      </c>
      <c r="N149" s="27">
        <v>0.88400000000000001</v>
      </c>
      <c r="O149" s="28">
        <v>0</v>
      </c>
      <c r="P149" s="27">
        <v>0.88400000000000001</v>
      </c>
      <c r="Q149" s="54"/>
      <c r="R149" s="52"/>
      <c r="S149" s="1"/>
      <c r="T149" s="1"/>
      <c r="U149" s="1"/>
    </row>
    <row r="150" spans="1:21" ht="18" x14ac:dyDescent="0.3">
      <c r="A150" s="1"/>
      <c r="B150" s="23">
        <v>2</v>
      </c>
      <c r="C150" s="34" t="s">
        <v>91</v>
      </c>
      <c r="D150" s="25">
        <v>1</v>
      </c>
      <c r="E150" s="25">
        <v>1</v>
      </c>
      <c r="F150" s="25">
        <v>1</v>
      </c>
      <c r="G150" s="25">
        <v>0.84150000000000003</v>
      </c>
      <c r="H150" s="25">
        <v>1</v>
      </c>
      <c r="I150" s="25">
        <v>1</v>
      </c>
      <c r="J150" s="25">
        <v>0.8</v>
      </c>
      <c r="K150" s="25">
        <v>1</v>
      </c>
      <c r="L150" s="26">
        <v>0</v>
      </c>
      <c r="M150" s="26">
        <v>0.5</v>
      </c>
      <c r="N150" s="27">
        <v>0.86909999999999998</v>
      </c>
      <c r="O150" s="28">
        <v>0</v>
      </c>
      <c r="P150" s="27">
        <v>0.86909999999999998</v>
      </c>
      <c r="Q150" s="54"/>
      <c r="R150" s="52"/>
      <c r="S150" s="1"/>
      <c r="T150" s="1"/>
      <c r="U150" s="1"/>
    </row>
    <row r="151" spans="1:21" ht="18" x14ac:dyDescent="0.3">
      <c r="A151" s="1"/>
      <c r="B151" s="23">
        <v>3</v>
      </c>
      <c r="C151" s="34" t="s">
        <v>92</v>
      </c>
      <c r="D151" s="25">
        <v>0.98</v>
      </c>
      <c r="E151" s="25">
        <v>1</v>
      </c>
      <c r="F151" s="25">
        <v>1</v>
      </c>
      <c r="G151" s="25">
        <v>0.67530000000000001</v>
      </c>
      <c r="H151" s="25">
        <v>0</v>
      </c>
      <c r="I151" s="25">
        <v>0.97719999999999996</v>
      </c>
      <c r="J151" s="25">
        <v>0.8</v>
      </c>
      <c r="K151" s="25">
        <v>0</v>
      </c>
      <c r="L151" s="26">
        <v>0</v>
      </c>
      <c r="M151" s="26">
        <v>0.5</v>
      </c>
      <c r="N151" s="27">
        <v>0.71830000000000005</v>
      </c>
      <c r="O151" s="28">
        <v>0</v>
      </c>
      <c r="P151" s="27">
        <v>0.71830000000000005</v>
      </c>
      <c r="Q151" s="54"/>
      <c r="R151" s="52"/>
      <c r="S151" s="1"/>
      <c r="T151" s="1"/>
      <c r="U151" s="1"/>
    </row>
    <row r="152" spans="1:21" ht="18" x14ac:dyDescent="0.3">
      <c r="A152" s="1"/>
      <c r="B152" s="23">
        <v>4</v>
      </c>
      <c r="C152" s="34" t="s">
        <v>93</v>
      </c>
      <c r="D152" s="25">
        <v>0.96</v>
      </c>
      <c r="E152" s="25">
        <v>1</v>
      </c>
      <c r="F152" s="25">
        <v>0.90900000000000003</v>
      </c>
      <c r="G152" s="25">
        <v>0.8296</v>
      </c>
      <c r="H152" s="25">
        <v>1</v>
      </c>
      <c r="I152" s="25">
        <v>0.97899999999999998</v>
      </c>
      <c r="J152" s="25">
        <v>0.8</v>
      </c>
      <c r="K152" s="25">
        <v>1</v>
      </c>
      <c r="L152" s="26">
        <v>0</v>
      </c>
      <c r="M152" s="26">
        <v>0.5</v>
      </c>
      <c r="N152" s="27">
        <v>0.8528</v>
      </c>
      <c r="O152" s="28">
        <v>0</v>
      </c>
      <c r="P152" s="27">
        <v>0.8528</v>
      </c>
      <c r="Q152" s="54"/>
      <c r="R152" s="52"/>
      <c r="S152" s="1"/>
      <c r="T152" s="1"/>
      <c r="U152" s="1"/>
    </row>
    <row r="153" spans="1:21" ht="18" x14ac:dyDescent="0.3">
      <c r="A153" s="1"/>
      <c r="B153" s="23">
        <v>5</v>
      </c>
      <c r="C153" s="34" t="s">
        <v>94</v>
      </c>
      <c r="D153" s="25">
        <v>1</v>
      </c>
      <c r="E153" s="25">
        <v>1</v>
      </c>
      <c r="F153" s="25">
        <v>1</v>
      </c>
      <c r="G153" s="25">
        <v>0.70650000000000002</v>
      </c>
      <c r="H153" s="25">
        <v>0</v>
      </c>
      <c r="I153" s="25">
        <v>1</v>
      </c>
      <c r="J153" s="25">
        <v>0.8</v>
      </c>
      <c r="K153" s="25">
        <v>0</v>
      </c>
      <c r="L153" s="26">
        <v>0</v>
      </c>
      <c r="M153" s="26">
        <v>0.5</v>
      </c>
      <c r="N153" s="27">
        <v>0.72560000000000002</v>
      </c>
      <c r="O153" s="28">
        <v>0</v>
      </c>
      <c r="P153" s="27">
        <v>0.72560000000000002</v>
      </c>
      <c r="Q153" s="54"/>
      <c r="R153" s="52"/>
      <c r="S153" s="1"/>
      <c r="T153" s="1"/>
      <c r="U153" s="1"/>
    </row>
    <row r="154" spans="1:21" x14ac:dyDescent="0.3">
      <c r="A154" s="1"/>
      <c r="B154" s="59" t="s">
        <v>27</v>
      </c>
      <c r="C154" s="60"/>
      <c r="D154" s="31">
        <v>0.99</v>
      </c>
      <c r="E154" s="31">
        <v>1</v>
      </c>
      <c r="F154" s="31">
        <v>0.98</v>
      </c>
      <c r="G154" s="31">
        <v>0.81</v>
      </c>
      <c r="H154" s="31">
        <v>0.6</v>
      </c>
      <c r="I154" s="31">
        <v>0.99</v>
      </c>
      <c r="J154" s="31">
        <v>0.8</v>
      </c>
      <c r="K154" s="31">
        <v>0.6</v>
      </c>
      <c r="L154" s="31">
        <v>0</v>
      </c>
      <c r="M154" s="31">
        <v>0.5</v>
      </c>
      <c r="N154" s="31">
        <v>0.81</v>
      </c>
      <c r="O154" s="31">
        <v>0</v>
      </c>
      <c r="P154" s="31">
        <v>0.81</v>
      </c>
      <c r="Q154" s="54"/>
      <c r="R154" s="52"/>
      <c r="S154" s="1"/>
      <c r="T154" s="1"/>
      <c r="U154" s="1"/>
    </row>
    <row r="155" spans="1:2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52"/>
      <c r="R155" s="52"/>
      <c r="S155" s="1"/>
      <c r="T155" s="1"/>
      <c r="U155" s="1"/>
    </row>
    <row r="156" spans="1:2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52"/>
      <c r="R156" s="52"/>
      <c r="S156" s="1"/>
      <c r="T156" s="1"/>
      <c r="U156" s="1"/>
    </row>
    <row r="157" spans="1:21" ht="15.6" x14ac:dyDescent="0.3">
      <c r="A157" s="1"/>
      <c r="B157" s="3"/>
      <c r="C157" s="4" t="s">
        <v>95</v>
      </c>
      <c r="D157" s="3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5" t="s">
        <v>2</v>
      </c>
      <c r="Q157" s="54"/>
      <c r="R157" s="52"/>
      <c r="S157" s="1"/>
      <c r="T157" s="1"/>
      <c r="U157" s="1"/>
    </row>
    <row r="158" spans="1:21" ht="15.6" x14ac:dyDescent="0.3">
      <c r="A158" s="1"/>
      <c r="B158" s="3"/>
      <c r="C158" s="6">
        <v>46174</v>
      </c>
      <c r="D158" s="3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7">
        <v>0.96</v>
      </c>
      <c r="Q158" s="54"/>
      <c r="R158" s="52"/>
      <c r="S158" s="1"/>
      <c r="T158" s="1"/>
      <c r="U158" s="1"/>
    </row>
    <row r="159" spans="1:21" ht="42" x14ac:dyDescent="0.3">
      <c r="A159" s="1"/>
      <c r="B159" s="55" t="s">
        <v>3</v>
      </c>
      <c r="C159" s="55" t="s">
        <v>4</v>
      </c>
      <c r="D159" s="8" t="s">
        <v>5</v>
      </c>
      <c r="E159" s="8" t="s">
        <v>6</v>
      </c>
      <c r="F159" s="9" t="s">
        <v>7</v>
      </c>
      <c r="G159" s="9" t="s">
        <v>8</v>
      </c>
      <c r="H159" s="9" t="s">
        <v>9</v>
      </c>
      <c r="I159" s="10" t="s">
        <v>10</v>
      </c>
      <c r="J159" s="10" t="s">
        <v>11</v>
      </c>
      <c r="K159" s="11" t="s">
        <v>12</v>
      </c>
      <c r="L159" s="10" t="s">
        <v>13</v>
      </c>
      <c r="M159" s="11" t="s">
        <v>14</v>
      </c>
      <c r="N159" s="12" t="s">
        <v>15</v>
      </c>
      <c r="O159" s="57" t="s">
        <v>16</v>
      </c>
      <c r="P159" s="57" t="s">
        <v>17</v>
      </c>
      <c r="Q159" s="54"/>
      <c r="R159" s="52"/>
      <c r="S159" s="1"/>
      <c r="T159" s="1"/>
      <c r="U159" s="1"/>
    </row>
    <row r="160" spans="1:21" x14ac:dyDescent="0.3">
      <c r="A160" s="1"/>
      <c r="B160" s="56"/>
      <c r="C160" s="56"/>
      <c r="D160" s="13" t="s">
        <v>18</v>
      </c>
      <c r="E160" s="13" t="s">
        <v>18</v>
      </c>
      <c r="F160" s="13" t="s">
        <v>18</v>
      </c>
      <c r="G160" s="13" t="s">
        <v>18</v>
      </c>
      <c r="H160" s="13" t="s">
        <v>18</v>
      </c>
      <c r="I160" s="13" t="s">
        <v>18</v>
      </c>
      <c r="J160" s="13" t="s">
        <v>18</v>
      </c>
      <c r="K160" s="13" t="s">
        <v>18</v>
      </c>
      <c r="L160" s="13" t="s">
        <v>18</v>
      </c>
      <c r="M160" s="13" t="s">
        <v>18</v>
      </c>
      <c r="N160" s="14" t="s">
        <v>29</v>
      </c>
      <c r="O160" s="58"/>
      <c r="P160" s="58"/>
      <c r="Q160" s="54"/>
      <c r="R160" s="52"/>
      <c r="S160" s="1"/>
      <c r="T160" s="1"/>
      <c r="U160" s="1"/>
    </row>
    <row r="161" spans="1:21" x14ac:dyDescent="0.3">
      <c r="A161" s="1"/>
      <c r="B161" s="59" t="s">
        <v>20</v>
      </c>
      <c r="C161" s="60"/>
      <c r="D161" s="16">
        <v>0.1</v>
      </c>
      <c r="E161" s="16">
        <v>0.05</v>
      </c>
      <c r="F161" s="16">
        <v>0.1</v>
      </c>
      <c r="G161" s="16">
        <v>0.1</v>
      </c>
      <c r="H161" s="16">
        <v>0.05</v>
      </c>
      <c r="I161" s="17">
        <v>0.1</v>
      </c>
      <c r="J161" s="17">
        <v>0.35</v>
      </c>
      <c r="K161" s="17">
        <v>0.08</v>
      </c>
      <c r="L161" s="17">
        <v>0.02</v>
      </c>
      <c r="M161" s="17">
        <v>0.05</v>
      </c>
      <c r="N161" s="19">
        <v>1</v>
      </c>
      <c r="O161" s="20"/>
      <c r="P161" s="22"/>
      <c r="Q161" s="54"/>
      <c r="R161" s="52"/>
      <c r="S161" s="1"/>
      <c r="T161" s="1"/>
      <c r="U161" s="1"/>
    </row>
    <row r="162" spans="1:21" ht="18" x14ac:dyDescent="0.3">
      <c r="A162" s="1"/>
      <c r="B162" s="23">
        <v>1</v>
      </c>
      <c r="C162" s="24" t="s">
        <v>96</v>
      </c>
      <c r="D162" s="25">
        <v>0.98</v>
      </c>
      <c r="E162" s="25">
        <v>1</v>
      </c>
      <c r="F162" s="25">
        <v>1</v>
      </c>
      <c r="G162" s="25">
        <v>1</v>
      </c>
      <c r="H162" s="25">
        <v>1</v>
      </c>
      <c r="I162" s="25">
        <v>0.93459999999999999</v>
      </c>
      <c r="J162" s="25">
        <v>1</v>
      </c>
      <c r="K162" s="25">
        <v>0</v>
      </c>
      <c r="L162" s="26">
        <v>1</v>
      </c>
      <c r="M162" s="26">
        <v>1</v>
      </c>
      <c r="N162" s="27">
        <v>0.91149999999999998</v>
      </c>
      <c r="O162" s="28">
        <v>0</v>
      </c>
      <c r="P162" s="27">
        <v>0.91149999999999998</v>
      </c>
      <c r="Q162" s="54"/>
      <c r="R162" s="52"/>
      <c r="S162" s="1"/>
      <c r="T162" s="1"/>
      <c r="U162" s="1"/>
    </row>
    <row r="163" spans="1:21" ht="18" x14ac:dyDescent="0.3">
      <c r="A163" s="1"/>
      <c r="B163" s="23">
        <v>2</v>
      </c>
      <c r="C163" s="24" t="s">
        <v>97</v>
      </c>
      <c r="D163" s="25">
        <v>1</v>
      </c>
      <c r="E163" s="25">
        <v>1</v>
      </c>
      <c r="F163" s="25">
        <v>1</v>
      </c>
      <c r="G163" s="25">
        <v>1</v>
      </c>
      <c r="H163" s="25">
        <v>1</v>
      </c>
      <c r="I163" s="25">
        <v>0.99770000000000003</v>
      </c>
      <c r="J163" s="25">
        <v>1</v>
      </c>
      <c r="K163" s="25">
        <v>1</v>
      </c>
      <c r="L163" s="26">
        <v>0</v>
      </c>
      <c r="M163" s="26">
        <v>1</v>
      </c>
      <c r="N163" s="27">
        <v>0.9798</v>
      </c>
      <c r="O163" s="28">
        <v>0</v>
      </c>
      <c r="P163" s="27">
        <v>0.9798</v>
      </c>
      <c r="Q163" s="54"/>
      <c r="R163" s="52"/>
      <c r="S163" s="1"/>
      <c r="T163" s="1"/>
      <c r="U163" s="1"/>
    </row>
    <row r="164" spans="1:21" ht="18" x14ac:dyDescent="0.3">
      <c r="A164" s="1"/>
      <c r="B164" s="23">
        <v>3</v>
      </c>
      <c r="C164" s="24" t="s">
        <v>98</v>
      </c>
      <c r="D164" s="25">
        <v>1</v>
      </c>
      <c r="E164" s="25">
        <v>1</v>
      </c>
      <c r="F164" s="25">
        <v>1</v>
      </c>
      <c r="G164" s="25">
        <v>1</v>
      </c>
      <c r="H164" s="25">
        <v>1</v>
      </c>
      <c r="I164" s="25">
        <v>0.98260000000000003</v>
      </c>
      <c r="J164" s="25">
        <v>1</v>
      </c>
      <c r="K164" s="25">
        <v>1</v>
      </c>
      <c r="L164" s="26">
        <v>1</v>
      </c>
      <c r="M164" s="26">
        <v>1</v>
      </c>
      <c r="N164" s="27">
        <v>0.99829999999999997</v>
      </c>
      <c r="O164" s="28">
        <v>0</v>
      </c>
      <c r="P164" s="27">
        <v>0.99829999999999997</v>
      </c>
      <c r="Q164" s="54"/>
      <c r="R164" s="52"/>
      <c r="S164" s="1"/>
      <c r="T164" s="1"/>
      <c r="U164" s="1"/>
    </row>
    <row r="165" spans="1:21" ht="18" x14ac:dyDescent="0.3">
      <c r="A165" s="1"/>
      <c r="B165" s="23">
        <v>4</v>
      </c>
      <c r="C165" s="24" t="s">
        <v>99</v>
      </c>
      <c r="D165" s="25">
        <v>1</v>
      </c>
      <c r="E165" s="25">
        <v>1</v>
      </c>
      <c r="F165" s="25">
        <v>1</v>
      </c>
      <c r="G165" s="25">
        <v>1</v>
      </c>
      <c r="H165" s="25">
        <v>1</v>
      </c>
      <c r="I165" s="25">
        <v>1</v>
      </c>
      <c r="J165" s="25">
        <v>1</v>
      </c>
      <c r="K165" s="25">
        <v>0.5</v>
      </c>
      <c r="L165" s="26">
        <v>1</v>
      </c>
      <c r="M165" s="26">
        <v>1</v>
      </c>
      <c r="N165" s="27">
        <v>0.96</v>
      </c>
      <c r="O165" s="28">
        <v>0</v>
      </c>
      <c r="P165" s="27">
        <v>0.96</v>
      </c>
      <c r="Q165" s="54"/>
      <c r="R165" s="52"/>
      <c r="S165" s="1"/>
      <c r="T165" s="1"/>
      <c r="U165" s="1"/>
    </row>
    <row r="166" spans="1:21" ht="18" x14ac:dyDescent="0.3">
      <c r="A166" s="1"/>
      <c r="B166" s="23">
        <v>5</v>
      </c>
      <c r="C166" s="24" t="s">
        <v>100</v>
      </c>
      <c r="D166" s="25">
        <v>1</v>
      </c>
      <c r="E166" s="25">
        <v>1</v>
      </c>
      <c r="F166" s="25">
        <v>1</v>
      </c>
      <c r="G166" s="25">
        <v>1</v>
      </c>
      <c r="H166" s="25">
        <v>1</v>
      </c>
      <c r="I166" s="25">
        <v>0.92510000000000003</v>
      </c>
      <c r="J166" s="25">
        <v>1</v>
      </c>
      <c r="K166" s="25">
        <v>0.5</v>
      </c>
      <c r="L166" s="26">
        <v>0</v>
      </c>
      <c r="M166" s="26">
        <v>1</v>
      </c>
      <c r="N166" s="27">
        <v>0.9325</v>
      </c>
      <c r="O166" s="28">
        <v>0</v>
      </c>
      <c r="P166" s="27">
        <v>0.9325</v>
      </c>
      <c r="Q166" s="54"/>
      <c r="R166" s="52"/>
      <c r="S166" s="1"/>
      <c r="T166" s="1"/>
      <c r="U166" s="1"/>
    </row>
    <row r="167" spans="1:21" x14ac:dyDescent="0.3">
      <c r="A167" s="1"/>
      <c r="B167" s="59" t="s">
        <v>27</v>
      </c>
      <c r="C167" s="60"/>
      <c r="D167" s="31">
        <v>1</v>
      </c>
      <c r="E167" s="31">
        <v>1</v>
      </c>
      <c r="F167" s="31">
        <v>1</v>
      </c>
      <c r="G167" s="31">
        <v>1</v>
      </c>
      <c r="H167" s="31">
        <v>1</v>
      </c>
      <c r="I167" s="31">
        <v>0.97</v>
      </c>
      <c r="J167" s="31">
        <v>1</v>
      </c>
      <c r="K167" s="31">
        <v>0.6</v>
      </c>
      <c r="L167" s="31">
        <v>0.6</v>
      </c>
      <c r="M167" s="31">
        <v>1</v>
      </c>
      <c r="N167" s="31">
        <v>0.96</v>
      </c>
      <c r="O167" s="31">
        <v>0</v>
      </c>
      <c r="P167" s="31">
        <v>0.96</v>
      </c>
      <c r="Q167" s="54"/>
      <c r="R167" s="52"/>
      <c r="S167" s="1"/>
      <c r="T167" s="1"/>
      <c r="U167" s="1"/>
    </row>
    <row r="168" spans="1:2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52"/>
      <c r="R168" s="52"/>
      <c r="S168" s="1"/>
      <c r="T168" s="1"/>
      <c r="U168" s="1"/>
    </row>
    <row r="169" spans="1:2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52"/>
      <c r="R169" s="52"/>
      <c r="S169" s="1"/>
      <c r="T169" s="1"/>
      <c r="U169" s="1"/>
    </row>
    <row r="170" spans="1:21" ht="15.6" x14ac:dyDescent="0.3">
      <c r="A170" s="1"/>
      <c r="B170" s="3"/>
      <c r="C170" s="4" t="s">
        <v>101</v>
      </c>
      <c r="D170" s="3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5" t="s">
        <v>2</v>
      </c>
      <c r="Q170" s="54"/>
      <c r="R170" s="52"/>
      <c r="S170" s="1"/>
      <c r="T170" s="1"/>
      <c r="U170" s="1"/>
    </row>
    <row r="171" spans="1:21" ht="15.6" x14ac:dyDescent="0.3">
      <c r="A171" s="1"/>
      <c r="B171" s="3"/>
      <c r="C171" s="6">
        <v>46174</v>
      </c>
      <c r="D171" s="3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7">
        <v>0.96</v>
      </c>
      <c r="Q171" s="54"/>
      <c r="R171" s="52"/>
      <c r="S171" s="1"/>
      <c r="T171" s="1"/>
      <c r="U171" s="1"/>
    </row>
    <row r="172" spans="1:21" ht="42" x14ac:dyDescent="0.3">
      <c r="A172" s="1"/>
      <c r="B172" s="55" t="s">
        <v>3</v>
      </c>
      <c r="C172" s="55" t="s">
        <v>4</v>
      </c>
      <c r="D172" s="8" t="s">
        <v>5</v>
      </c>
      <c r="E172" s="8" t="s">
        <v>6</v>
      </c>
      <c r="F172" s="9" t="s">
        <v>7</v>
      </c>
      <c r="G172" s="9" t="s">
        <v>8</v>
      </c>
      <c r="H172" s="9" t="s">
        <v>9</v>
      </c>
      <c r="I172" s="10" t="s">
        <v>10</v>
      </c>
      <c r="J172" s="10" t="s">
        <v>11</v>
      </c>
      <c r="K172" s="11" t="s">
        <v>12</v>
      </c>
      <c r="L172" s="10" t="s">
        <v>13</v>
      </c>
      <c r="M172" s="11" t="s">
        <v>14</v>
      </c>
      <c r="N172" s="12" t="s">
        <v>15</v>
      </c>
      <c r="O172" s="57" t="s">
        <v>16</v>
      </c>
      <c r="P172" s="57" t="s">
        <v>17</v>
      </c>
      <c r="Q172" s="54"/>
      <c r="R172" s="52"/>
      <c r="S172" s="1"/>
      <c r="T172" s="1"/>
      <c r="U172" s="1"/>
    </row>
    <row r="173" spans="1:21" x14ac:dyDescent="0.3">
      <c r="A173" s="1"/>
      <c r="B173" s="56"/>
      <c r="C173" s="56"/>
      <c r="D173" s="13" t="s">
        <v>18</v>
      </c>
      <c r="E173" s="13" t="s">
        <v>18</v>
      </c>
      <c r="F173" s="13" t="s">
        <v>18</v>
      </c>
      <c r="G173" s="13" t="s">
        <v>18</v>
      </c>
      <c r="H173" s="13" t="s">
        <v>18</v>
      </c>
      <c r="I173" s="13" t="s">
        <v>18</v>
      </c>
      <c r="J173" s="13" t="s">
        <v>18</v>
      </c>
      <c r="K173" s="13" t="s">
        <v>18</v>
      </c>
      <c r="L173" s="13" t="s">
        <v>18</v>
      </c>
      <c r="M173" s="13" t="s">
        <v>18</v>
      </c>
      <c r="N173" s="14" t="s">
        <v>29</v>
      </c>
      <c r="O173" s="58"/>
      <c r="P173" s="58"/>
      <c r="Q173" s="54"/>
      <c r="R173" s="52"/>
      <c r="S173" s="1"/>
      <c r="T173" s="1"/>
      <c r="U173" s="1"/>
    </row>
    <row r="174" spans="1:21" x14ac:dyDescent="0.3">
      <c r="A174" s="1"/>
      <c r="B174" s="59" t="s">
        <v>20</v>
      </c>
      <c r="C174" s="60"/>
      <c r="D174" s="16">
        <v>0.1</v>
      </c>
      <c r="E174" s="16">
        <v>0.05</v>
      </c>
      <c r="F174" s="16">
        <v>0.1</v>
      </c>
      <c r="G174" s="16">
        <v>0.1</v>
      </c>
      <c r="H174" s="16">
        <v>0.05</v>
      </c>
      <c r="I174" s="17">
        <v>0.1</v>
      </c>
      <c r="J174" s="17">
        <v>0.35</v>
      </c>
      <c r="K174" s="17">
        <v>0.08</v>
      </c>
      <c r="L174" s="17">
        <v>0.02</v>
      </c>
      <c r="M174" s="17">
        <v>0.05</v>
      </c>
      <c r="N174" s="19">
        <v>1</v>
      </c>
      <c r="O174" s="20"/>
      <c r="P174" s="22"/>
      <c r="Q174" s="54"/>
      <c r="R174" s="52"/>
      <c r="S174" s="1"/>
      <c r="T174" s="1"/>
      <c r="U174" s="1"/>
    </row>
    <row r="175" spans="1:21" ht="18" x14ac:dyDescent="0.3">
      <c r="A175" s="1"/>
      <c r="B175" s="23">
        <v>1</v>
      </c>
      <c r="C175" s="30" t="s">
        <v>102</v>
      </c>
      <c r="D175" s="25">
        <v>0.96</v>
      </c>
      <c r="E175" s="25">
        <v>1</v>
      </c>
      <c r="F175" s="25">
        <v>0.96330000000000005</v>
      </c>
      <c r="G175" s="25">
        <v>0.85680000000000001</v>
      </c>
      <c r="H175" s="25">
        <v>1</v>
      </c>
      <c r="I175" s="25">
        <v>0.98460000000000003</v>
      </c>
      <c r="J175" s="25">
        <v>1</v>
      </c>
      <c r="K175" s="25">
        <v>1</v>
      </c>
      <c r="L175" s="26">
        <v>0</v>
      </c>
      <c r="M175" s="26">
        <v>0</v>
      </c>
      <c r="N175" s="27">
        <v>0.95420000000000005</v>
      </c>
      <c r="O175" s="28">
        <v>0</v>
      </c>
      <c r="P175" s="27">
        <v>0.95420000000000005</v>
      </c>
      <c r="Q175" s="54"/>
      <c r="R175" s="52"/>
      <c r="S175" s="1"/>
      <c r="T175" s="1"/>
      <c r="U175" s="1"/>
    </row>
    <row r="176" spans="1:21" ht="18" x14ac:dyDescent="0.3">
      <c r="A176" s="1"/>
      <c r="B176" s="23">
        <v>2</v>
      </c>
      <c r="C176" s="30" t="s">
        <v>103</v>
      </c>
      <c r="D176" s="25">
        <v>1</v>
      </c>
      <c r="E176" s="25">
        <v>1</v>
      </c>
      <c r="F176" s="25">
        <v>1</v>
      </c>
      <c r="G176" s="25">
        <v>1</v>
      </c>
      <c r="H176" s="25">
        <v>1</v>
      </c>
      <c r="I176" s="25">
        <v>1</v>
      </c>
      <c r="J176" s="25">
        <v>1</v>
      </c>
      <c r="K176" s="25">
        <v>1</v>
      </c>
      <c r="L176" s="26">
        <v>1</v>
      </c>
      <c r="M176" s="26">
        <v>0</v>
      </c>
      <c r="N176" s="27">
        <v>1</v>
      </c>
      <c r="O176" s="28">
        <v>0</v>
      </c>
      <c r="P176" s="27">
        <v>1</v>
      </c>
      <c r="Q176" s="54"/>
      <c r="R176" s="52"/>
      <c r="S176" s="1"/>
      <c r="T176" s="1"/>
      <c r="U176" s="1"/>
    </row>
    <row r="177" spans="1:21" ht="18" x14ac:dyDescent="0.3">
      <c r="A177" s="1"/>
      <c r="B177" s="23">
        <v>3</v>
      </c>
      <c r="C177" s="30" t="s">
        <v>104</v>
      </c>
      <c r="D177" s="25">
        <v>1</v>
      </c>
      <c r="E177" s="25">
        <v>1</v>
      </c>
      <c r="F177" s="25">
        <v>1</v>
      </c>
      <c r="G177" s="25">
        <v>1</v>
      </c>
      <c r="H177" s="25">
        <v>1</v>
      </c>
      <c r="I177" s="25">
        <v>1</v>
      </c>
      <c r="J177" s="25">
        <v>1</v>
      </c>
      <c r="K177" s="25">
        <v>0.5</v>
      </c>
      <c r="L177" s="26">
        <v>0</v>
      </c>
      <c r="M177" s="26">
        <v>0</v>
      </c>
      <c r="N177" s="27">
        <v>0.93679999999999997</v>
      </c>
      <c r="O177" s="28">
        <v>0</v>
      </c>
      <c r="P177" s="27">
        <v>0.93679999999999997</v>
      </c>
      <c r="Q177" s="54"/>
      <c r="R177" s="52"/>
      <c r="S177" s="1"/>
      <c r="T177" s="1"/>
      <c r="U177" s="1"/>
    </row>
    <row r="178" spans="1:21" ht="18" x14ac:dyDescent="0.3">
      <c r="A178" s="1"/>
      <c r="B178" s="23"/>
      <c r="C178" s="30" t="s">
        <v>105</v>
      </c>
      <c r="D178" s="25">
        <v>0.94</v>
      </c>
      <c r="E178" s="25">
        <v>1</v>
      </c>
      <c r="F178" s="25">
        <v>0.997</v>
      </c>
      <c r="G178" s="25">
        <v>0.97319999999999995</v>
      </c>
      <c r="H178" s="25">
        <v>1</v>
      </c>
      <c r="I178" s="25">
        <v>0.99229999999999996</v>
      </c>
      <c r="J178" s="25">
        <v>1</v>
      </c>
      <c r="K178" s="25">
        <v>0.5</v>
      </c>
      <c r="L178" s="26">
        <v>0</v>
      </c>
      <c r="M178" s="26">
        <v>0</v>
      </c>
      <c r="N178" s="27">
        <v>0.92659999999999998</v>
      </c>
      <c r="O178" s="28">
        <v>0</v>
      </c>
      <c r="P178" s="27">
        <v>0.92659999999999998</v>
      </c>
      <c r="Q178" s="54"/>
      <c r="R178" s="52"/>
      <c r="S178" s="1"/>
      <c r="T178" s="1"/>
      <c r="U178" s="1"/>
    </row>
    <row r="179" spans="1:21" ht="18" x14ac:dyDescent="0.3">
      <c r="A179" s="1"/>
      <c r="B179" s="23">
        <v>4</v>
      </c>
      <c r="C179" s="30" t="s">
        <v>106</v>
      </c>
      <c r="D179" s="25">
        <v>0.96</v>
      </c>
      <c r="E179" s="25">
        <v>1</v>
      </c>
      <c r="F179" s="25">
        <v>1</v>
      </c>
      <c r="G179" s="25">
        <v>1</v>
      </c>
      <c r="H179" s="25">
        <v>1</v>
      </c>
      <c r="I179" s="25">
        <v>1</v>
      </c>
      <c r="J179" s="25">
        <v>1</v>
      </c>
      <c r="K179" s="25">
        <v>1</v>
      </c>
      <c r="L179" s="26">
        <v>0</v>
      </c>
      <c r="M179" s="26">
        <v>0</v>
      </c>
      <c r="N179" s="27">
        <v>0.97470000000000001</v>
      </c>
      <c r="O179" s="28">
        <v>0</v>
      </c>
      <c r="P179" s="27">
        <v>0.97470000000000001</v>
      </c>
      <c r="Q179" s="54"/>
      <c r="R179" s="52"/>
      <c r="S179" s="1"/>
      <c r="T179" s="1"/>
      <c r="U179" s="1"/>
    </row>
    <row r="180" spans="1:21" ht="18" x14ac:dyDescent="0.3">
      <c r="A180" s="1"/>
      <c r="B180" s="23">
        <v>5</v>
      </c>
      <c r="C180" s="30" t="s">
        <v>107</v>
      </c>
      <c r="D180" s="25">
        <v>1</v>
      </c>
      <c r="E180" s="25">
        <v>1</v>
      </c>
      <c r="F180" s="25">
        <v>1</v>
      </c>
      <c r="G180" s="25">
        <v>1</v>
      </c>
      <c r="H180" s="25">
        <v>1</v>
      </c>
      <c r="I180" s="25">
        <v>0.99809999999999999</v>
      </c>
      <c r="J180" s="25">
        <v>1</v>
      </c>
      <c r="K180" s="25">
        <v>1</v>
      </c>
      <c r="L180" s="26">
        <v>0</v>
      </c>
      <c r="M180" s="26">
        <v>0</v>
      </c>
      <c r="N180" s="27">
        <v>0.97870000000000001</v>
      </c>
      <c r="O180" s="28">
        <v>0</v>
      </c>
      <c r="P180" s="27">
        <v>0.97870000000000001</v>
      </c>
      <c r="Q180" s="54"/>
      <c r="R180" s="52"/>
      <c r="S180" s="1"/>
      <c r="T180" s="1"/>
      <c r="U180" s="1"/>
    </row>
    <row r="181" spans="1:21" ht="18" x14ac:dyDescent="0.3">
      <c r="A181" s="1"/>
      <c r="B181" s="23">
        <v>6</v>
      </c>
      <c r="C181" s="30" t="s">
        <v>108</v>
      </c>
      <c r="D181" s="25">
        <v>1</v>
      </c>
      <c r="E181" s="25">
        <v>1</v>
      </c>
      <c r="F181" s="25">
        <v>1</v>
      </c>
      <c r="G181" s="25">
        <v>1</v>
      </c>
      <c r="H181" s="25">
        <v>1</v>
      </c>
      <c r="I181" s="25">
        <v>1</v>
      </c>
      <c r="J181" s="25">
        <v>1</v>
      </c>
      <c r="K181" s="25">
        <v>1</v>
      </c>
      <c r="L181" s="26">
        <v>0</v>
      </c>
      <c r="M181" s="26">
        <v>0</v>
      </c>
      <c r="N181" s="27">
        <v>0.97889999999999999</v>
      </c>
      <c r="O181" s="28">
        <v>0</v>
      </c>
      <c r="P181" s="27">
        <v>0.97889999999999999</v>
      </c>
      <c r="Q181" s="54"/>
      <c r="R181" s="52"/>
      <c r="S181" s="1"/>
      <c r="T181" s="1"/>
      <c r="U181" s="1"/>
    </row>
    <row r="182" spans="1:21" x14ac:dyDescent="0.3">
      <c r="A182" s="1"/>
      <c r="B182" s="59" t="s">
        <v>27</v>
      </c>
      <c r="C182" s="60"/>
      <c r="D182" s="31">
        <v>0.98</v>
      </c>
      <c r="E182" s="31">
        <v>1</v>
      </c>
      <c r="F182" s="31">
        <v>0.99</v>
      </c>
      <c r="G182" s="31">
        <v>0.98</v>
      </c>
      <c r="H182" s="31">
        <v>1</v>
      </c>
      <c r="I182" s="31">
        <v>1</v>
      </c>
      <c r="J182" s="31">
        <v>1</v>
      </c>
      <c r="K182" s="31">
        <v>0.86</v>
      </c>
      <c r="L182" s="31">
        <v>0.14000000000000001</v>
      </c>
      <c r="M182" s="31">
        <v>0</v>
      </c>
      <c r="N182" s="31">
        <v>0.96</v>
      </c>
      <c r="O182" s="31">
        <v>0</v>
      </c>
      <c r="P182" s="31">
        <v>0.96</v>
      </c>
      <c r="Q182" s="54"/>
      <c r="R182" s="52"/>
      <c r="S182" s="1"/>
      <c r="T182" s="1"/>
      <c r="U182" s="1"/>
    </row>
    <row r="183" spans="1:21" x14ac:dyDescent="0.3">
      <c r="A183" s="1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5"/>
      <c r="Q183" s="54"/>
      <c r="R183" s="52"/>
      <c r="S183" s="1"/>
      <c r="T183" s="1"/>
      <c r="U183" s="1"/>
    </row>
    <row r="184" spans="1:21" x14ac:dyDescent="0.3">
      <c r="A184" s="1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5"/>
      <c r="Q184" s="54"/>
      <c r="R184" s="52"/>
      <c r="S184" s="1"/>
      <c r="T184" s="1"/>
      <c r="U184" s="1"/>
    </row>
    <row r="185" spans="1:21" ht="15.6" x14ac:dyDescent="0.3">
      <c r="A185" s="1"/>
      <c r="B185" s="3"/>
      <c r="C185" s="4" t="s">
        <v>109</v>
      </c>
      <c r="D185" s="3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5" t="s">
        <v>2</v>
      </c>
      <c r="Q185" s="54"/>
      <c r="R185" s="52"/>
      <c r="S185" s="1"/>
      <c r="T185" s="1"/>
      <c r="U185" s="1"/>
    </row>
    <row r="186" spans="1:21" ht="15.6" x14ac:dyDescent="0.3">
      <c r="A186" s="1"/>
      <c r="B186" s="3"/>
      <c r="C186" s="6">
        <v>46174</v>
      </c>
      <c r="D186" s="3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7">
        <v>0.96</v>
      </c>
      <c r="Q186" s="54"/>
      <c r="R186" s="52"/>
      <c r="S186" s="1"/>
      <c r="T186" s="1"/>
      <c r="U186" s="1"/>
    </row>
    <row r="187" spans="1:21" ht="42" x14ac:dyDescent="0.3">
      <c r="A187" s="1"/>
      <c r="B187" s="55" t="s">
        <v>3</v>
      </c>
      <c r="C187" s="55" t="s">
        <v>4</v>
      </c>
      <c r="D187" s="8" t="s">
        <v>5</v>
      </c>
      <c r="E187" s="8" t="s">
        <v>6</v>
      </c>
      <c r="F187" s="9" t="s">
        <v>7</v>
      </c>
      <c r="G187" s="9" t="s">
        <v>8</v>
      </c>
      <c r="H187" s="9" t="s">
        <v>9</v>
      </c>
      <c r="I187" s="10" t="s">
        <v>10</v>
      </c>
      <c r="J187" s="10" t="s">
        <v>11</v>
      </c>
      <c r="K187" s="11" t="s">
        <v>12</v>
      </c>
      <c r="L187" s="10" t="s">
        <v>13</v>
      </c>
      <c r="M187" s="11" t="s">
        <v>14</v>
      </c>
      <c r="N187" s="12" t="s">
        <v>15</v>
      </c>
      <c r="O187" s="57" t="s">
        <v>16</v>
      </c>
      <c r="P187" s="57" t="s">
        <v>17</v>
      </c>
      <c r="Q187" s="54"/>
      <c r="R187" s="52"/>
      <c r="S187" s="1"/>
      <c r="T187" s="1"/>
      <c r="U187" s="1"/>
    </row>
    <row r="188" spans="1:21" x14ac:dyDescent="0.3">
      <c r="A188" s="1"/>
      <c r="B188" s="56"/>
      <c r="C188" s="56"/>
      <c r="D188" s="13" t="s">
        <v>18</v>
      </c>
      <c r="E188" s="13" t="s">
        <v>18</v>
      </c>
      <c r="F188" s="13" t="s">
        <v>18</v>
      </c>
      <c r="G188" s="13" t="s">
        <v>18</v>
      </c>
      <c r="H188" s="13" t="s">
        <v>18</v>
      </c>
      <c r="I188" s="13" t="s">
        <v>18</v>
      </c>
      <c r="J188" s="13" t="s">
        <v>18</v>
      </c>
      <c r="K188" s="13" t="s">
        <v>18</v>
      </c>
      <c r="L188" s="13" t="s">
        <v>18</v>
      </c>
      <c r="M188" s="13" t="s">
        <v>18</v>
      </c>
      <c r="N188" s="14" t="s">
        <v>29</v>
      </c>
      <c r="O188" s="58"/>
      <c r="P188" s="58"/>
      <c r="Q188" s="54"/>
      <c r="R188" s="52"/>
      <c r="S188" s="1"/>
      <c r="T188" s="1"/>
      <c r="U188" s="1"/>
    </row>
    <row r="189" spans="1:21" x14ac:dyDescent="0.3">
      <c r="A189" s="1"/>
      <c r="B189" s="59" t="s">
        <v>20</v>
      </c>
      <c r="C189" s="60"/>
      <c r="D189" s="16">
        <v>0.1</v>
      </c>
      <c r="E189" s="16">
        <v>0.05</v>
      </c>
      <c r="F189" s="16">
        <v>0.1</v>
      </c>
      <c r="G189" s="16">
        <v>0.1</v>
      </c>
      <c r="H189" s="16">
        <v>0.05</v>
      </c>
      <c r="I189" s="17">
        <v>0.1</v>
      </c>
      <c r="J189" s="17">
        <v>0.35</v>
      </c>
      <c r="K189" s="17">
        <v>0.08</v>
      </c>
      <c r="L189" s="17">
        <v>0.02</v>
      </c>
      <c r="M189" s="17">
        <v>0.05</v>
      </c>
      <c r="N189" s="19">
        <v>1</v>
      </c>
      <c r="O189" s="20"/>
      <c r="P189" s="22"/>
      <c r="Q189" s="54"/>
      <c r="R189" s="52"/>
      <c r="S189" s="1"/>
      <c r="T189" s="1"/>
      <c r="U189" s="1"/>
    </row>
    <row r="190" spans="1:21" ht="18" x14ac:dyDescent="0.3">
      <c r="A190" s="1"/>
      <c r="B190" s="23">
        <v>1</v>
      </c>
      <c r="C190" s="29" t="s">
        <v>110</v>
      </c>
      <c r="D190" s="25">
        <v>1</v>
      </c>
      <c r="E190" s="25">
        <v>1</v>
      </c>
      <c r="F190" s="25">
        <v>1</v>
      </c>
      <c r="G190" s="25">
        <v>1</v>
      </c>
      <c r="H190" s="25">
        <v>1</v>
      </c>
      <c r="I190" s="25">
        <v>0.99590000000000001</v>
      </c>
      <c r="J190" s="25">
        <v>1</v>
      </c>
      <c r="K190" s="25">
        <v>1</v>
      </c>
      <c r="L190" s="26">
        <v>1</v>
      </c>
      <c r="M190" s="26">
        <v>1</v>
      </c>
      <c r="N190" s="27">
        <v>0.99960000000000004</v>
      </c>
      <c r="O190" s="28">
        <v>0</v>
      </c>
      <c r="P190" s="27">
        <v>0.99960000000000004</v>
      </c>
      <c r="Q190" s="54"/>
      <c r="R190" s="52"/>
      <c r="S190" s="1"/>
      <c r="T190" s="1"/>
      <c r="U190" s="1"/>
    </row>
    <row r="191" spans="1:21" ht="18" x14ac:dyDescent="0.3">
      <c r="A191" s="1"/>
      <c r="B191" s="23">
        <v>2</v>
      </c>
      <c r="C191" s="24" t="s">
        <v>111</v>
      </c>
      <c r="D191" s="25">
        <v>1</v>
      </c>
      <c r="E191" s="25">
        <v>0.98</v>
      </c>
      <c r="F191" s="25">
        <v>1</v>
      </c>
      <c r="G191" s="25">
        <v>1</v>
      </c>
      <c r="H191" s="25">
        <v>1</v>
      </c>
      <c r="I191" s="25">
        <v>0.99790000000000001</v>
      </c>
      <c r="J191" s="25">
        <v>1</v>
      </c>
      <c r="K191" s="25">
        <v>1</v>
      </c>
      <c r="L191" s="26">
        <v>0</v>
      </c>
      <c r="M191" s="26">
        <v>1</v>
      </c>
      <c r="N191" s="27">
        <v>0.9788</v>
      </c>
      <c r="O191" s="28">
        <v>0</v>
      </c>
      <c r="P191" s="27">
        <v>0.9788</v>
      </c>
      <c r="Q191" s="54"/>
      <c r="R191" s="52"/>
      <c r="S191" s="1"/>
      <c r="T191" s="1"/>
      <c r="U191" s="1"/>
    </row>
    <row r="192" spans="1:21" ht="18" x14ac:dyDescent="0.3">
      <c r="A192" s="1"/>
      <c r="B192" s="23">
        <v>3</v>
      </c>
      <c r="C192" s="29" t="s">
        <v>112</v>
      </c>
      <c r="D192" s="25">
        <v>1</v>
      </c>
      <c r="E192" s="25">
        <v>1</v>
      </c>
      <c r="F192" s="25">
        <v>1</v>
      </c>
      <c r="G192" s="25">
        <v>1</v>
      </c>
      <c r="H192" s="25">
        <v>1</v>
      </c>
      <c r="I192" s="25">
        <v>1</v>
      </c>
      <c r="J192" s="25">
        <v>1</v>
      </c>
      <c r="K192" s="25">
        <v>1</v>
      </c>
      <c r="L192" s="26">
        <v>1</v>
      </c>
      <c r="M192" s="26">
        <v>1</v>
      </c>
      <c r="N192" s="27">
        <v>1</v>
      </c>
      <c r="O192" s="28">
        <v>0</v>
      </c>
      <c r="P192" s="27">
        <v>1</v>
      </c>
      <c r="Q192" s="54"/>
      <c r="R192" s="52"/>
      <c r="S192" s="1"/>
      <c r="T192" s="1"/>
      <c r="U192" s="1"/>
    </row>
    <row r="193" spans="1:21" ht="18" x14ac:dyDescent="0.3">
      <c r="A193" s="1"/>
      <c r="B193" s="23">
        <v>4</v>
      </c>
      <c r="C193" s="24" t="s">
        <v>113</v>
      </c>
      <c r="D193" s="25">
        <v>1</v>
      </c>
      <c r="E193" s="25">
        <v>1</v>
      </c>
      <c r="F193" s="25">
        <v>1</v>
      </c>
      <c r="G193" s="25">
        <v>1</v>
      </c>
      <c r="H193" s="25">
        <v>1</v>
      </c>
      <c r="I193" s="25">
        <v>1</v>
      </c>
      <c r="J193" s="25">
        <v>1</v>
      </c>
      <c r="K193" s="25">
        <v>0.5</v>
      </c>
      <c r="L193" s="26">
        <v>0</v>
      </c>
      <c r="M193" s="26">
        <v>0.5</v>
      </c>
      <c r="N193" s="27">
        <v>0.91500000000000004</v>
      </c>
      <c r="O193" s="28">
        <v>0</v>
      </c>
      <c r="P193" s="27">
        <v>0.91500000000000004</v>
      </c>
      <c r="Q193" s="54"/>
      <c r="R193" s="52"/>
      <c r="S193" s="1"/>
      <c r="T193" s="1"/>
      <c r="U193" s="1"/>
    </row>
    <row r="194" spans="1:21" ht="18" x14ac:dyDescent="0.3">
      <c r="A194" s="1"/>
      <c r="B194" s="23">
        <v>5</v>
      </c>
      <c r="C194" s="24" t="s">
        <v>114</v>
      </c>
      <c r="D194" s="25">
        <v>1</v>
      </c>
      <c r="E194" s="25">
        <v>1</v>
      </c>
      <c r="F194" s="25">
        <v>1</v>
      </c>
      <c r="G194" s="25">
        <v>1</v>
      </c>
      <c r="H194" s="25">
        <v>1</v>
      </c>
      <c r="I194" s="25">
        <v>0.99399999999999999</v>
      </c>
      <c r="J194" s="25">
        <v>0.8</v>
      </c>
      <c r="K194" s="25">
        <v>1</v>
      </c>
      <c r="L194" s="26">
        <v>0</v>
      </c>
      <c r="M194" s="26">
        <v>1</v>
      </c>
      <c r="N194" s="27">
        <v>0.90939999999999999</v>
      </c>
      <c r="O194" s="28">
        <v>0</v>
      </c>
      <c r="P194" s="27">
        <v>0.90939999999999999</v>
      </c>
      <c r="Q194" s="54"/>
      <c r="R194" s="52"/>
      <c r="S194" s="1"/>
      <c r="T194" s="1"/>
      <c r="U194" s="1"/>
    </row>
    <row r="195" spans="1:21" x14ac:dyDescent="0.3">
      <c r="A195" s="1"/>
      <c r="B195" s="59" t="s">
        <v>27</v>
      </c>
      <c r="C195" s="60"/>
      <c r="D195" s="31">
        <v>1</v>
      </c>
      <c r="E195" s="31">
        <v>1</v>
      </c>
      <c r="F195" s="31">
        <v>1</v>
      </c>
      <c r="G195" s="31">
        <v>1</v>
      </c>
      <c r="H195" s="31">
        <v>1</v>
      </c>
      <c r="I195" s="31">
        <v>1</v>
      </c>
      <c r="J195" s="31">
        <v>0.96</v>
      </c>
      <c r="K195" s="31">
        <v>0.9</v>
      </c>
      <c r="L195" s="31">
        <v>0.4</v>
      </c>
      <c r="M195" s="31">
        <v>0.9</v>
      </c>
      <c r="N195" s="31">
        <v>0.96</v>
      </c>
      <c r="O195" s="31">
        <v>0</v>
      </c>
      <c r="P195" s="31">
        <v>0.96</v>
      </c>
      <c r="Q195" s="54"/>
      <c r="R195" s="52"/>
      <c r="S195" s="1"/>
      <c r="T195" s="1"/>
      <c r="U195" s="1"/>
    </row>
    <row r="196" spans="1:21" x14ac:dyDescent="0.3">
      <c r="A196" s="1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5"/>
      <c r="Q196" s="54"/>
      <c r="R196" s="52"/>
      <c r="S196" s="1"/>
      <c r="T196" s="1"/>
      <c r="U196" s="1"/>
    </row>
    <row r="197" spans="1:21" ht="15.6" x14ac:dyDescent="0.3">
      <c r="A197" s="1"/>
      <c r="B197" s="32"/>
      <c r="C197" s="4" t="s">
        <v>115</v>
      </c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5"/>
      <c r="Q197" s="54"/>
      <c r="R197" s="52"/>
      <c r="S197" s="1"/>
      <c r="T197" s="1"/>
      <c r="U197" s="1"/>
    </row>
    <row r="198" spans="1:21" ht="15.6" x14ac:dyDescent="0.3">
      <c r="A198" s="1"/>
      <c r="B198" s="3"/>
      <c r="C198" s="6">
        <v>46174</v>
      </c>
      <c r="D198" s="3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7">
        <v>0.97</v>
      </c>
      <c r="Q198" s="54"/>
      <c r="R198" s="52"/>
      <c r="S198" s="1"/>
      <c r="T198" s="1"/>
      <c r="U198" s="1"/>
    </row>
    <row r="199" spans="1:21" ht="42" x14ac:dyDescent="0.3">
      <c r="A199" s="1"/>
      <c r="B199" s="55" t="s">
        <v>3</v>
      </c>
      <c r="C199" s="55" t="s">
        <v>4</v>
      </c>
      <c r="D199" s="8" t="s">
        <v>5</v>
      </c>
      <c r="E199" s="8" t="s">
        <v>6</v>
      </c>
      <c r="F199" s="9" t="s">
        <v>7</v>
      </c>
      <c r="G199" s="9" t="s">
        <v>8</v>
      </c>
      <c r="H199" s="9" t="s">
        <v>9</v>
      </c>
      <c r="I199" s="10" t="s">
        <v>10</v>
      </c>
      <c r="J199" s="10" t="s">
        <v>11</v>
      </c>
      <c r="K199" s="11" t="s">
        <v>12</v>
      </c>
      <c r="L199" s="10" t="s">
        <v>13</v>
      </c>
      <c r="M199" s="11" t="s">
        <v>14</v>
      </c>
      <c r="N199" s="12" t="s">
        <v>15</v>
      </c>
      <c r="O199" s="57" t="s">
        <v>16</v>
      </c>
      <c r="P199" s="57" t="s">
        <v>17</v>
      </c>
      <c r="Q199" s="54"/>
      <c r="R199" s="52"/>
      <c r="S199" s="1"/>
      <c r="T199" s="1"/>
      <c r="U199" s="1"/>
    </row>
    <row r="200" spans="1:21" x14ac:dyDescent="0.3">
      <c r="A200" s="1"/>
      <c r="B200" s="56"/>
      <c r="C200" s="56"/>
      <c r="D200" s="13" t="s">
        <v>18</v>
      </c>
      <c r="E200" s="13" t="s">
        <v>18</v>
      </c>
      <c r="F200" s="13" t="s">
        <v>18</v>
      </c>
      <c r="G200" s="13" t="s">
        <v>18</v>
      </c>
      <c r="H200" s="13" t="s">
        <v>18</v>
      </c>
      <c r="I200" s="13" t="s">
        <v>18</v>
      </c>
      <c r="J200" s="13" t="s">
        <v>18</v>
      </c>
      <c r="K200" s="13" t="s">
        <v>18</v>
      </c>
      <c r="L200" s="13" t="s">
        <v>18</v>
      </c>
      <c r="M200" s="13" t="s">
        <v>18</v>
      </c>
      <c r="N200" s="14" t="s">
        <v>29</v>
      </c>
      <c r="O200" s="58"/>
      <c r="P200" s="58"/>
      <c r="Q200" s="54"/>
      <c r="R200" s="52"/>
      <c r="S200" s="1"/>
      <c r="T200" s="1"/>
      <c r="U200" s="1"/>
    </row>
    <row r="201" spans="1:21" x14ac:dyDescent="0.3">
      <c r="A201" s="1"/>
      <c r="B201" s="59" t="s">
        <v>20</v>
      </c>
      <c r="C201" s="60"/>
      <c r="D201" s="16">
        <v>0.1</v>
      </c>
      <c r="E201" s="16">
        <v>0.05</v>
      </c>
      <c r="F201" s="16">
        <v>0.1</v>
      </c>
      <c r="G201" s="16">
        <v>0.1</v>
      </c>
      <c r="H201" s="16">
        <v>0.05</v>
      </c>
      <c r="I201" s="17">
        <v>0.1</v>
      </c>
      <c r="J201" s="17">
        <v>0.35</v>
      </c>
      <c r="K201" s="17">
        <v>0.08</v>
      </c>
      <c r="L201" s="17">
        <v>0.02</v>
      </c>
      <c r="M201" s="17">
        <v>0.05</v>
      </c>
      <c r="N201" s="19">
        <v>1</v>
      </c>
      <c r="O201" s="20"/>
      <c r="P201" s="22"/>
      <c r="Q201" s="54"/>
      <c r="R201" s="52"/>
      <c r="S201" s="1"/>
      <c r="T201" s="1"/>
      <c r="U201" s="1"/>
    </row>
    <row r="202" spans="1:21" ht="72" x14ac:dyDescent="0.3">
      <c r="A202" s="1"/>
      <c r="B202" s="23">
        <v>1</v>
      </c>
      <c r="C202" s="36" t="s">
        <v>116</v>
      </c>
      <c r="D202" s="25">
        <v>1</v>
      </c>
      <c r="E202" s="25">
        <v>1</v>
      </c>
      <c r="F202" s="25">
        <v>1</v>
      </c>
      <c r="G202" s="25">
        <v>1</v>
      </c>
      <c r="H202" s="25">
        <v>1</v>
      </c>
      <c r="I202" s="25">
        <v>1</v>
      </c>
      <c r="J202" s="25">
        <v>1</v>
      </c>
      <c r="K202" s="25">
        <v>1</v>
      </c>
      <c r="L202" s="26">
        <v>1</v>
      </c>
      <c r="M202" s="26">
        <v>1</v>
      </c>
      <c r="N202" s="27">
        <v>1</v>
      </c>
      <c r="O202" s="28">
        <v>0</v>
      </c>
      <c r="P202" s="27">
        <v>1</v>
      </c>
      <c r="Q202" s="54"/>
      <c r="R202" s="52"/>
      <c r="S202" s="1"/>
      <c r="T202" s="1"/>
      <c r="U202" s="1"/>
    </row>
    <row r="203" spans="1:21" ht="18" x14ac:dyDescent="0.3">
      <c r="A203" s="1"/>
      <c r="B203" s="23">
        <v>2</v>
      </c>
      <c r="C203" s="24" t="s">
        <v>117</v>
      </c>
      <c r="D203" s="25">
        <v>1</v>
      </c>
      <c r="E203" s="25">
        <v>1</v>
      </c>
      <c r="F203" s="25">
        <v>1</v>
      </c>
      <c r="G203" s="25">
        <v>1</v>
      </c>
      <c r="H203" s="25">
        <v>1</v>
      </c>
      <c r="I203" s="25">
        <v>0.99129999999999996</v>
      </c>
      <c r="J203" s="25">
        <v>1</v>
      </c>
      <c r="K203" s="25">
        <v>1</v>
      </c>
      <c r="L203" s="26">
        <v>1</v>
      </c>
      <c r="M203" s="26">
        <v>1</v>
      </c>
      <c r="N203" s="27">
        <v>0.99909999999999999</v>
      </c>
      <c r="O203" s="28">
        <v>0</v>
      </c>
      <c r="P203" s="27">
        <v>0.99909999999999999</v>
      </c>
      <c r="Q203" s="54"/>
      <c r="R203" s="52"/>
      <c r="S203" s="1"/>
      <c r="T203" s="1"/>
      <c r="U203" s="1"/>
    </row>
    <row r="204" spans="1:21" ht="18" x14ac:dyDescent="0.3">
      <c r="A204" s="1"/>
      <c r="B204" s="23">
        <v>3</v>
      </c>
      <c r="C204" s="24" t="s">
        <v>118</v>
      </c>
      <c r="D204" s="25">
        <v>1</v>
      </c>
      <c r="E204" s="25">
        <v>1</v>
      </c>
      <c r="F204" s="25">
        <v>1</v>
      </c>
      <c r="G204" s="25">
        <v>1</v>
      </c>
      <c r="H204" s="25">
        <v>1</v>
      </c>
      <c r="I204" s="25">
        <v>1</v>
      </c>
      <c r="J204" s="25">
        <v>1</v>
      </c>
      <c r="K204" s="25">
        <v>1</v>
      </c>
      <c r="L204" s="26">
        <v>1</v>
      </c>
      <c r="M204" s="26">
        <v>1</v>
      </c>
      <c r="N204" s="27">
        <v>1</v>
      </c>
      <c r="O204" s="28">
        <v>0</v>
      </c>
      <c r="P204" s="27">
        <v>1</v>
      </c>
      <c r="Q204" s="54"/>
      <c r="R204" s="52"/>
      <c r="S204" s="1"/>
      <c r="T204" s="1"/>
      <c r="U204" s="1"/>
    </row>
    <row r="205" spans="1:21" ht="18" x14ac:dyDescent="0.3">
      <c r="A205" s="1"/>
      <c r="B205" s="23">
        <v>4</v>
      </c>
      <c r="C205" s="24" t="s">
        <v>119</v>
      </c>
      <c r="D205" s="25">
        <v>0.98</v>
      </c>
      <c r="E205" s="25">
        <v>1</v>
      </c>
      <c r="F205" s="25">
        <v>1</v>
      </c>
      <c r="G205" s="25">
        <v>0.87660000000000005</v>
      </c>
      <c r="H205" s="25">
        <v>1</v>
      </c>
      <c r="I205" s="25">
        <v>0.98370000000000002</v>
      </c>
      <c r="J205" s="25">
        <v>1</v>
      </c>
      <c r="K205" s="25">
        <v>0</v>
      </c>
      <c r="L205" s="26">
        <v>0</v>
      </c>
      <c r="M205" s="26">
        <v>1</v>
      </c>
      <c r="N205" s="27">
        <v>0.88400000000000001</v>
      </c>
      <c r="O205" s="28">
        <v>0</v>
      </c>
      <c r="P205" s="27">
        <v>0.88400000000000001</v>
      </c>
      <c r="Q205" s="54"/>
      <c r="R205" s="52"/>
      <c r="S205" s="1"/>
      <c r="T205" s="1"/>
      <c r="U205" s="1"/>
    </row>
    <row r="206" spans="1:21" ht="18" x14ac:dyDescent="0.3">
      <c r="A206" s="1"/>
      <c r="B206" s="23">
        <v>5</v>
      </c>
      <c r="C206" s="24" t="s">
        <v>120</v>
      </c>
      <c r="D206" s="25">
        <v>1</v>
      </c>
      <c r="E206" s="25">
        <v>1</v>
      </c>
      <c r="F206" s="25">
        <v>1</v>
      </c>
      <c r="G206" s="25">
        <v>0.93059999999999998</v>
      </c>
      <c r="H206" s="25">
        <v>1</v>
      </c>
      <c r="I206" s="25">
        <v>0.99129999999999996</v>
      </c>
      <c r="J206" s="25">
        <v>1</v>
      </c>
      <c r="K206" s="25">
        <v>1</v>
      </c>
      <c r="L206" s="26">
        <v>0</v>
      </c>
      <c r="M206" s="26">
        <v>1</v>
      </c>
      <c r="N206" s="27">
        <v>0.97219999999999995</v>
      </c>
      <c r="O206" s="28">
        <v>0</v>
      </c>
      <c r="P206" s="27">
        <v>0.97219999999999995</v>
      </c>
      <c r="Q206" s="54"/>
      <c r="R206" s="52"/>
      <c r="S206" s="1"/>
      <c r="T206" s="1"/>
      <c r="U206" s="1"/>
    </row>
    <row r="207" spans="1:21" x14ac:dyDescent="0.3">
      <c r="A207" s="1"/>
      <c r="B207" s="59" t="s">
        <v>27</v>
      </c>
      <c r="C207" s="60"/>
      <c r="D207" s="31">
        <v>1</v>
      </c>
      <c r="E207" s="31">
        <v>1</v>
      </c>
      <c r="F207" s="31">
        <v>1</v>
      </c>
      <c r="G207" s="31">
        <v>0.96</v>
      </c>
      <c r="H207" s="31">
        <v>1</v>
      </c>
      <c r="I207" s="31">
        <v>0.99</v>
      </c>
      <c r="J207" s="31">
        <v>1</v>
      </c>
      <c r="K207" s="31">
        <v>0.8</v>
      </c>
      <c r="L207" s="31">
        <v>0.6</v>
      </c>
      <c r="M207" s="31">
        <v>1</v>
      </c>
      <c r="N207" s="31">
        <v>0.97</v>
      </c>
      <c r="O207" s="31">
        <v>0</v>
      </c>
      <c r="P207" s="31">
        <v>0.97</v>
      </c>
      <c r="Q207" s="54"/>
      <c r="R207" s="52"/>
      <c r="S207" s="1"/>
      <c r="T207" s="1"/>
      <c r="U207" s="1"/>
    </row>
    <row r="208" spans="1:2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52"/>
      <c r="R208" s="52"/>
      <c r="S208" s="1"/>
      <c r="T208" s="1"/>
      <c r="U208" s="1"/>
    </row>
    <row r="209" spans="1:2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52"/>
      <c r="R209" s="52"/>
      <c r="S209" s="1"/>
      <c r="T209" s="1"/>
      <c r="U209" s="1"/>
    </row>
    <row r="210" spans="1:21" ht="15.6" x14ac:dyDescent="0.3">
      <c r="A210" s="1"/>
      <c r="B210" s="3"/>
      <c r="C210" s="4" t="s">
        <v>121</v>
      </c>
      <c r="D210" s="3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5" t="s">
        <v>2</v>
      </c>
      <c r="Q210" s="54"/>
      <c r="R210" s="52"/>
      <c r="S210" s="1"/>
      <c r="T210" s="1"/>
      <c r="U210" s="1"/>
    </row>
    <row r="211" spans="1:21" ht="15.6" x14ac:dyDescent="0.3">
      <c r="A211" s="1"/>
      <c r="B211" s="3"/>
      <c r="C211" s="6">
        <v>46174</v>
      </c>
      <c r="D211" s="3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7">
        <v>0.92</v>
      </c>
      <c r="Q211" s="54"/>
      <c r="R211" s="52"/>
      <c r="S211" s="1"/>
      <c r="T211" s="1"/>
      <c r="U211" s="1"/>
    </row>
    <row r="212" spans="1:21" ht="42" x14ac:dyDescent="0.3">
      <c r="A212" s="1"/>
      <c r="B212" s="55" t="s">
        <v>3</v>
      </c>
      <c r="C212" s="55" t="s">
        <v>4</v>
      </c>
      <c r="D212" s="8" t="s">
        <v>5</v>
      </c>
      <c r="E212" s="8" t="s">
        <v>6</v>
      </c>
      <c r="F212" s="9" t="s">
        <v>7</v>
      </c>
      <c r="G212" s="9" t="s">
        <v>8</v>
      </c>
      <c r="H212" s="9" t="s">
        <v>9</v>
      </c>
      <c r="I212" s="10" t="s">
        <v>10</v>
      </c>
      <c r="J212" s="10" t="s">
        <v>11</v>
      </c>
      <c r="K212" s="11" t="s">
        <v>12</v>
      </c>
      <c r="L212" s="10" t="s">
        <v>13</v>
      </c>
      <c r="M212" s="11" t="s">
        <v>14</v>
      </c>
      <c r="N212" s="12" t="s">
        <v>15</v>
      </c>
      <c r="O212" s="57" t="s">
        <v>16</v>
      </c>
      <c r="P212" s="57" t="s">
        <v>17</v>
      </c>
      <c r="Q212" s="54"/>
      <c r="R212" s="52"/>
      <c r="S212" s="1"/>
      <c r="T212" s="1"/>
      <c r="U212" s="1"/>
    </row>
    <row r="213" spans="1:21" x14ac:dyDescent="0.3">
      <c r="A213" s="1"/>
      <c r="B213" s="56"/>
      <c r="C213" s="56"/>
      <c r="D213" s="13" t="s">
        <v>18</v>
      </c>
      <c r="E213" s="13" t="s">
        <v>18</v>
      </c>
      <c r="F213" s="13" t="s">
        <v>18</v>
      </c>
      <c r="G213" s="13" t="s">
        <v>18</v>
      </c>
      <c r="H213" s="13" t="s">
        <v>18</v>
      </c>
      <c r="I213" s="13" t="s">
        <v>18</v>
      </c>
      <c r="J213" s="13" t="s">
        <v>18</v>
      </c>
      <c r="K213" s="13" t="s">
        <v>18</v>
      </c>
      <c r="L213" s="13" t="s">
        <v>18</v>
      </c>
      <c r="M213" s="13" t="s">
        <v>18</v>
      </c>
      <c r="N213" s="14" t="s">
        <v>29</v>
      </c>
      <c r="O213" s="58"/>
      <c r="P213" s="58"/>
      <c r="Q213" s="54"/>
      <c r="R213" s="52"/>
      <c r="S213" s="1"/>
      <c r="T213" s="1"/>
      <c r="U213" s="1"/>
    </row>
    <row r="214" spans="1:21" x14ac:dyDescent="0.3">
      <c r="A214" s="1"/>
      <c r="B214" s="59" t="s">
        <v>20</v>
      </c>
      <c r="C214" s="60"/>
      <c r="D214" s="16">
        <v>0.1</v>
      </c>
      <c r="E214" s="16">
        <v>0.05</v>
      </c>
      <c r="F214" s="16">
        <v>0.1</v>
      </c>
      <c r="G214" s="16">
        <v>0.1</v>
      </c>
      <c r="H214" s="16">
        <v>0.05</v>
      </c>
      <c r="I214" s="17">
        <v>0.1</v>
      </c>
      <c r="J214" s="17">
        <v>0.35</v>
      </c>
      <c r="K214" s="17">
        <v>0.08</v>
      </c>
      <c r="L214" s="17">
        <v>0.02</v>
      </c>
      <c r="M214" s="17">
        <v>0.05</v>
      </c>
      <c r="N214" s="19">
        <v>1</v>
      </c>
      <c r="O214" s="20"/>
      <c r="P214" s="22"/>
      <c r="Q214" s="54"/>
      <c r="R214" s="52"/>
      <c r="S214" s="1"/>
      <c r="T214" s="1"/>
      <c r="U214" s="1"/>
    </row>
    <row r="215" spans="1:21" ht="18" x14ac:dyDescent="0.3">
      <c r="A215" s="1"/>
      <c r="B215" s="23">
        <v>1</v>
      </c>
      <c r="C215" s="24" t="s">
        <v>122</v>
      </c>
      <c r="D215" s="25">
        <v>0.98</v>
      </c>
      <c r="E215" s="25">
        <v>0.97</v>
      </c>
      <c r="F215" s="25">
        <v>1</v>
      </c>
      <c r="G215" s="25">
        <v>0.90439999999999998</v>
      </c>
      <c r="H215" s="25">
        <v>1</v>
      </c>
      <c r="I215" s="25">
        <v>1</v>
      </c>
      <c r="J215" s="25">
        <v>1</v>
      </c>
      <c r="K215" s="25">
        <v>1</v>
      </c>
      <c r="L215" s="26">
        <v>1</v>
      </c>
      <c r="M215" s="26">
        <v>1</v>
      </c>
      <c r="N215" s="27">
        <v>0.9869</v>
      </c>
      <c r="O215" s="28">
        <v>0</v>
      </c>
      <c r="P215" s="27">
        <v>0.9869</v>
      </c>
      <c r="Q215" s="54"/>
      <c r="R215" s="52"/>
      <c r="S215" s="1"/>
      <c r="T215" s="1"/>
      <c r="U215" s="1"/>
    </row>
    <row r="216" spans="1:21" ht="18" x14ac:dyDescent="0.3">
      <c r="A216" s="1"/>
      <c r="B216" s="23">
        <v>2</v>
      </c>
      <c r="C216" s="24" t="s">
        <v>123</v>
      </c>
      <c r="D216" s="25">
        <v>0.98</v>
      </c>
      <c r="E216" s="25">
        <v>1</v>
      </c>
      <c r="F216" s="25">
        <v>1</v>
      </c>
      <c r="G216" s="25">
        <v>0.55689999999999995</v>
      </c>
      <c r="H216" s="25">
        <v>0</v>
      </c>
      <c r="I216" s="25">
        <v>1</v>
      </c>
      <c r="J216" s="25">
        <v>1</v>
      </c>
      <c r="K216" s="25">
        <v>0</v>
      </c>
      <c r="L216" s="26">
        <v>0</v>
      </c>
      <c r="M216" s="26">
        <v>1</v>
      </c>
      <c r="N216" s="27">
        <v>0.80369999999999997</v>
      </c>
      <c r="O216" s="28">
        <v>0</v>
      </c>
      <c r="P216" s="27">
        <v>0.80369999999999997</v>
      </c>
      <c r="Q216" s="54"/>
      <c r="R216" s="52"/>
      <c r="S216" s="1"/>
      <c r="T216" s="1"/>
      <c r="U216" s="1"/>
    </row>
    <row r="217" spans="1:21" ht="18" x14ac:dyDescent="0.3">
      <c r="A217" s="1"/>
      <c r="B217" s="23">
        <v>3</v>
      </c>
      <c r="C217" s="24" t="s">
        <v>124</v>
      </c>
      <c r="D217" s="25">
        <v>1</v>
      </c>
      <c r="E217" s="25">
        <v>1</v>
      </c>
      <c r="F217" s="25">
        <v>1</v>
      </c>
      <c r="G217" s="25">
        <v>0.95440000000000003</v>
      </c>
      <c r="H217" s="25">
        <v>1</v>
      </c>
      <c r="I217" s="25">
        <v>1</v>
      </c>
      <c r="J217" s="25">
        <v>1</v>
      </c>
      <c r="K217" s="25">
        <v>0.5</v>
      </c>
      <c r="L217" s="26">
        <v>0</v>
      </c>
      <c r="M217" s="26">
        <v>1</v>
      </c>
      <c r="N217" s="27">
        <v>0.93540000000000001</v>
      </c>
      <c r="O217" s="28">
        <v>0</v>
      </c>
      <c r="P217" s="27">
        <v>0.93540000000000001</v>
      </c>
      <c r="Q217" s="54"/>
      <c r="R217" s="52"/>
      <c r="S217" s="1"/>
      <c r="T217" s="1"/>
      <c r="U217" s="1"/>
    </row>
    <row r="218" spans="1:21" ht="18" x14ac:dyDescent="0.3">
      <c r="A218" s="1"/>
      <c r="B218" s="23">
        <v>4</v>
      </c>
      <c r="C218" s="24" t="s">
        <v>125</v>
      </c>
      <c r="D218" s="25">
        <v>0.98</v>
      </c>
      <c r="E218" s="25">
        <v>1</v>
      </c>
      <c r="F218" s="25">
        <v>1</v>
      </c>
      <c r="G218" s="25">
        <v>1</v>
      </c>
      <c r="H218" s="25">
        <v>1</v>
      </c>
      <c r="I218" s="25">
        <v>0.99750000000000005</v>
      </c>
      <c r="J218" s="25">
        <v>1</v>
      </c>
      <c r="K218" s="25">
        <v>1</v>
      </c>
      <c r="L218" s="26">
        <v>0</v>
      </c>
      <c r="M218" s="26">
        <v>1</v>
      </c>
      <c r="N218" s="27">
        <v>0.9778</v>
      </c>
      <c r="O218" s="28">
        <v>0</v>
      </c>
      <c r="P218" s="27">
        <v>0.9778</v>
      </c>
      <c r="Q218" s="54"/>
      <c r="R218" s="52"/>
      <c r="S218" s="1"/>
      <c r="T218" s="1"/>
      <c r="U218" s="1"/>
    </row>
    <row r="219" spans="1:21" ht="18" x14ac:dyDescent="0.3">
      <c r="A219" s="1"/>
      <c r="B219" s="23">
        <v>5</v>
      </c>
      <c r="C219" s="24" t="s">
        <v>126</v>
      </c>
      <c r="D219" s="25">
        <v>0.98</v>
      </c>
      <c r="E219" s="25">
        <v>1</v>
      </c>
      <c r="F219" s="25">
        <v>1</v>
      </c>
      <c r="G219" s="25">
        <v>1</v>
      </c>
      <c r="H219" s="25">
        <v>1</v>
      </c>
      <c r="I219" s="25">
        <v>1</v>
      </c>
      <c r="J219" s="25">
        <v>0.8</v>
      </c>
      <c r="K219" s="25">
        <v>0</v>
      </c>
      <c r="L219" s="26">
        <v>0</v>
      </c>
      <c r="M219" s="26">
        <v>1</v>
      </c>
      <c r="N219" s="27">
        <v>0.82799999999999996</v>
      </c>
      <c r="O219" s="28">
        <v>0</v>
      </c>
      <c r="P219" s="27">
        <v>0.82799999999999996</v>
      </c>
      <c r="Q219" s="54"/>
      <c r="R219" s="52"/>
      <c r="S219" s="1"/>
      <c r="T219" s="1"/>
      <c r="U219" s="1"/>
    </row>
    <row r="220" spans="1:21" ht="54" x14ac:dyDescent="0.3">
      <c r="A220" s="1"/>
      <c r="B220" s="23">
        <v>6</v>
      </c>
      <c r="C220" s="33" t="s">
        <v>127</v>
      </c>
      <c r="D220" s="25">
        <v>1</v>
      </c>
      <c r="E220" s="25">
        <v>1</v>
      </c>
      <c r="F220" s="25">
        <v>1</v>
      </c>
      <c r="G220" s="25">
        <v>1</v>
      </c>
      <c r="H220" s="25">
        <v>1</v>
      </c>
      <c r="I220" s="25">
        <v>0.99229999999999996</v>
      </c>
      <c r="J220" s="25">
        <v>1</v>
      </c>
      <c r="K220" s="25">
        <v>1</v>
      </c>
      <c r="L220" s="26">
        <v>1</v>
      </c>
      <c r="M220" s="26">
        <v>0</v>
      </c>
      <c r="N220" s="27">
        <v>0.99919999999999998</v>
      </c>
      <c r="O220" s="28">
        <v>0</v>
      </c>
      <c r="P220" s="27">
        <v>0.99919999999999998</v>
      </c>
      <c r="Q220" s="54"/>
      <c r="R220" s="52"/>
      <c r="S220" s="1"/>
      <c r="T220" s="1"/>
      <c r="U220" s="1"/>
    </row>
    <row r="221" spans="1:21" x14ac:dyDescent="0.3">
      <c r="A221" s="1"/>
      <c r="B221" s="59" t="s">
        <v>27</v>
      </c>
      <c r="C221" s="60"/>
      <c r="D221" s="31">
        <v>0.99</v>
      </c>
      <c r="E221" s="31">
        <v>1</v>
      </c>
      <c r="F221" s="31">
        <v>1</v>
      </c>
      <c r="G221" s="31">
        <v>0.9</v>
      </c>
      <c r="H221" s="31">
        <v>0.83</v>
      </c>
      <c r="I221" s="31">
        <v>1</v>
      </c>
      <c r="J221" s="31">
        <v>0.97</v>
      </c>
      <c r="K221" s="31">
        <v>0.57999999999999996</v>
      </c>
      <c r="L221" s="31">
        <v>0.33</v>
      </c>
      <c r="M221" s="31">
        <v>0.83</v>
      </c>
      <c r="N221" s="31">
        <v>0.92</v>
      </c>
      <c r="O221" s="31">
        <v>0</v>
      </c>
      <c r="P221" s="31">
        <v>0.92</v>
      </c>
      <c r="Q221" s="54"/>
      <c r="R221" s="52"/>
      <c r="S221" s="1"/>
      <c r="T221" s="1"/>
      <c r="U221" s="1"/>
    </row>
    <row r="222" spans="1:2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52"/>
      <c r="R222" s="52"/>
      <c r="S222" s="1"/>
      <c r="T222" s="1"/>
      <c r="U222" s="1"/>
    </row>
    <row r="223" spans="1:2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52"/>
      <c r="R223" s="52"/>
      <c r="S223" s="1"/>
      <c r="T223" s="1"/>
      <c r="U223" s="1"/>
    </row>
    <row r="224" spans="1:2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52"/>
      <c r="R224" s="52"/>
      <c r="S224" s="1"/>
      <c r="T224" s="1"/>
      <c r="U224" s="1"/>
    </row>
    <row r="225" spans="1:21" ht="15.6" x14ac:dyDescent="0.3">
      <c r="A225" s="1"/>
      <c r="B225" s="3"/>
      <c r="C225" s="4" t="s">
        <v>128</v>
      </c>
      <c r="D225" s="3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5" t="s">
        <v>2</v>
      </c>
      <c r="Q225" s="54"/>
      <c r="R225" s="52"/>
      <c r="S225" s="1"/>
      <c r="T225" s="1"/>
      <c r="U225" s="1"/>
    </row>
    <row r="226" spans="1:21" ht="15.6" x14ac:dyDescent="0.3">
      <c r="A226" s="1"/>
      <c r="B226" s="3"/>
      <c r="C226" s="6">
        <v>46174</v>
      </c>
      <c r="D226" s="3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7">
        <v>0.88</v>
      </c>
      <c r="Q226" s="54"/>
      <c r="R226" s="52"/>
      <c r="S226" s="1"/>
      <c r="T226" s="1"/>
      <c r="U226" s="1"/>
    </row>
    <row r="227" spans="1:21" ht="42" x14ac:dyDescent="0.3">
      <c r="A227" s="1"/>
      <c r="B227" s="55" t="s">
        <v>3</v>
      </c>
      <c r="C227" s="55" t="s">
        <v>4</v>
      </c>
      <c r="D227" s="8" t="s">
        <v>5</v>
      </c>
      <c r="E227" s="8" t="s">
        <v>6</v>
      </c>
      <c r="F227" s="9" t="s">
        <v>7</v>
      </c>
      <c r="G227" s="9" t="s">
        <v>8</v>
      </c>
      <c r="H227" s="9" t="s">
        <v>9</v>
      </c>
      <c r="I227" s="10" t="s">
        <v>10</v>
      </c>
      <c r="J227" s="10" t="s">
        <v>11</v>
      </c>
      <c r="K227" s="11" t="s">
        <v>12</v>
      </c>
      <c r="L227" s="10" t="s">
        <v>13</v>
      </c>
      <c r="M227" s="11" t="s">
        <v>14</v>
      </c>
      <c r="N227" s="12" t="s">
        <v>15</v>
      </c>
      <c r="O227" s="57" t="s">
        <v>16</v>
      </c>
      <c r="P227" s="57" t="s">
        <v>17</v>
      </c>
      <c r="Q227" s="54"/>
      <c r="R227" s="52"/>
      <c r="S227" s="1"/>
      <c r="T227" s="1"/>
      <c r="U227" s="1"/>
    </row>
    <row r="228" spans="1:21" x14ac:dyDescent="0.3">
      <c r="A228" s="1"/>
      <c r="B228" s="56"/>
      <c r="C228" s="56"/>
      <c r="D228" s="13" t="s">
        <v>18</v>
      </c>
      <c r="E228" s="13" t="s">
        <v>18</v>
      </c>
      <c r="F228" s="13" t="s">
        <v>18</v>
      </c>
      <c r="G228" s="13" t="s">
        <v>18</v>
      </c>
      <c r="H228" s="13" t="s">
        <v>18</v>
      </c>
      <c r="I228" s="13" t="s">
        <v>18</v>
      </c>
      <c r="J228" s="13" t="s">
        <v>18</v>
      </c>
      <c r="K228" s="13" t="s">
        <v>18</v>
      </c>
      <c r="L228" s="13" t="s">
        <v>18</v>
      </c>
      <c r="M228" s="13" t="s">
        <v>18</v>
      </c>
      <c r="N228" s="14" t="s">
        <v>29</v>
      </c>
      <c r="O228" s="58"/>
      <c r="P228" s="58"/>
      <c r="Q228" s="54"/>
      <c r="R228" s="52"/>
      <c r="S228" s="1"/>
      <c r="T228" s="1"/>
      <c r="U228" s="1"/>
    </row>
    <row r="229" spans="1:21" x14ac:dyDescent="0.3">
      <c r="A229" s="1"/>
      <c r="B229" s="59" t="s">
        <v>20</v>
      </c>
      <c r="C229" s="60"/>
      <c r="D229" s="16">
        <v>0.1</v>
      </c>
      <c r="E229" s="16">
        <v>0.05</v>
      </c>
      <c r="F229" s="16">
        <v>0.1</v>
      </c>
      <c r="G229" s="16">
        <v>0.1</v>
      </c>
      <c r="H229" s="16">
        <v>0.05</v>
      </c>
      <c r="I229" s="17">
        <v>0.1</v>
      </c>
      <c r="J229" s="17">
        <v>0.35</v>
      </c>
      <c r="K229" s="17">
        <v>0.08</v>
      </c>
      <c r="L229" s="17">
        <v>0.02</v>
      </c>
      <c r="M229" s="17">
        <v>0.05</v>
      </c>
      <c r="N229" s="19">
        <v>1</v>
      </c>
      <c r="O229" s="20"/>
      <c r="P229" s="22"/>
      <c r="Q229" s="54"/>
      <c r="R229" s="52"/>
      <c r="S229" s="1"/>
      <c r="T229" s="1"/>
      <c r="U229" s="1"/>
    </row>
    <row r="230" spans="1:21" ht="18" x14ac:dyDescent="0.3">
      <c r="A230" s="1"/>
      <c r="B230" s="23">
        <v>1</v>
      </c>
      <c r="C230" s="24" t="s">
        <v>129</v>
      </c>
      <c r="D230" s="25">
        <v>1</v>
      </c>
      <c r="E230" s="25">
        <v>1</v>
      </c>
      <c r="F230" s="25">
        <v>0.98170000000000002</v>
      </c>
      <c r="G230" s="25">
        <v>0.94499999999999995</v>
      </c>
      <c r="H230" s="25">
        <v>1</v>
      </c>
      <c r="I230" s="25">
        <v>0.99629999999999996</v>
      </c>
      <c r="J230" s="25">
        <v>0.8</v>
      </c>
      <c r="K230" s="25">
        <v>0.5</v>
      </c>
      <c r="L230" s="26">
        <v>0</v>
      </c>
      <c r="M230" s="26">
        <v>0.5</v>
      </c>
      <c r="N230" s="27">
        <v>0.83730000000000004</v>
      </c>
      <c r="O230" s="28">
        <v>0</v>
      </c>
      <c r="P230" s="27">
        <v>0.83730000000000004</v>
      </c>
      <c r="Q230" s="54"/>
      <c r="R230" s="52"/>
      <c r="S230" s="1"/>
      <c r="T230" s="1"/>
      <c r="U230" s="1"/>
    </row>
    <row r="231" spans="1:21" ht="18" x14ac:dyDescent="0.3">
      <c r="A231" s="1"/>
      <c r="B231" s="23">
        <v>2</v>
      </c>
      <c r="C231" s="24" t="s">
        <v>130</v>
      </c>
      <c r="D231" s="25">
        <v>0.96</v>
      </c>
      <c r="E231" s="25">
        <v>0.99</v>
      </c>
      <c r="F231" s="25">
        <v>1</v>
      </c>
      <c r="G231" s="25">
        <v>1</v>
      </c>
      <c r="H231" s="25">
        <v>1</v>
      </c>
      <c r="I231" s="25">
        <v>0.99270000000000003</v>
      </c>
      <c r="J231" s="25">
        <v>0.8</v>
      </c>
      <c r="K231" s="25">
        <v>0.5</v>
      </c>
      <c r="L231" s="26">
        <v>0</v>
      </c>
      <c r="M231" s="26">
        <v>1</v>
      </c>
      <c r="N231" s="27">
        <v>0.86480000000000001</v>
      </c>
      <c r="O231" s="28">
        <v>0</v>
      </c>
      <c r="P231" s="27">
        <v>0.86480000000000001</v>
      </c>
      <c r="Q231" s="54"/>
      <c r="R231" s="52"/>
      <c r="S231" s="1"/>
      <c r="T231" s="1"/>
      <c r="U231" s="1"/>
    </row>
    <row r="232" spans="1:21" ht="18" x14ac:dyDescent="0.3">
      <c r="A232" s="1"/>
      <c r="B232" s="23">
        <v>3</v>
      </c>
      <c r="C232" s="24" t="s">
        <v>131</v>
      </c>
      <c r="D232" s="25">
        <v>1</v>
      </c>
      <c r="E232" s="25">
        <v>1</v>
      </c>
      <c r="F232" s="25">
        <v>1</v>
      </c>
      <c r="G232" s="25">
        <v>1</v>
      </c>
      <c r="H232" s="25">
        <v>1</v>
      </c>
      <c r="I232" s="25">
        <v>0.99170000000000003</v>
      </c>
      <c r="J232" s="25">
        <v>0.8</v>
      </c>
      <c r="K232" s="25">
        <v>0.5</v>
      </c>
      <c r="L232" s="26">
        <v>0</v>
      </c>
      <c r="M232" s="26">
        <v>0.5</v>
      </c>
      <c r="N232" s="27">
        <v>0.84419999999999995</v>
      </c>
      <c r="O232" s="28">
        <v>0</v>
      </c>
      <c r="P232" s="27">
        <v>0.84419999999999995</v>
      </c>
      <c r="Q232" s="54"/>
      <c r="R232" s="52"/>
      <c r="S232" s="1"/>
      <c r="T232" s="1"/>
      <c r="U232" s="1"/>
    </row>
    <row r="233" spans="1:21" ht="18" x14ac:dyDescent="0.3">
      <c r="A233" s="1"/>
      <c r="B233" s="23">
        <v>4</v>
      </c>
      <c r="C233" s="24" t="s">
        <v>132</v>
      </c>
      <c r="D233" s="25">
        <v>1</v>
      </c>
      <c r="E233" s="25">
        <v>1</v>
      </c>
      <c r="F233" s="25">
        <v>1</v>
      </c>
      <c r="G233" s="25">
        <v>0.95540000000000003</v>
      </c>
      <c r="H233" s="25">
        <v>1</v>
      </c>
      <c r="I233" s="25">
        <v>0.85699999999999998</v>
      </c>
      <c r="J233" s="25">
        <v>0.8</v>
      </c>
      <c r="K233" s="25">
        <v>1</v>
      </c>
      <c r="L233" s="26">
        <v>0</v>
      </c>
      <c r="M233" s="26">
        <v>0.75</v>
      </c>
      <c r="N233" s="27">
        <v>0.87870000000000004</v>
      </c>
      <c r="O233" s="28">
        <v>0</v>
      </c>
      <c r="P233" s="27">
        <v>0.87870000000000004</v>
      </c>
      <c r="Q233" s="54"/>
      <c r="R233" s="52"/>
      <c r="S233" s="1"/>
      <c r="T233" s="1"/>
      <c r="U233" s="1"/>
    </row>
    <row r="234" spans="1:21" ht="18" x14ac:dyDescent="0.3">
      <c r="A234" s="1"/>
      <c r="B234" s="23">
        <v>5</v>
      </c>
      <c r="C234" s="24" t="s">
        <v>133</v>
      </c>
      <c r="D234" s="25">
        <v>1</v>
      </c>
      <c r="E234" s="25">
        <v>1</v>
      </c>
      <c r="F234" s="25">
        <v>1</v>
      </c>
      <c r="G234" s="25">
        <v>0.93530000000000002</v>
      </c>
      <c r="H234" s="25">
        <v>0</v>
      </c>
      <c r="I234" s="25">
        <v>1</v>
      </c>
      <c r="J234" s="25">
        <v>1</v>
      </c>
      <c r="K234" s="25">
        <v>1</v>
      </c>
      <c r="L234" s="26">
        <v>1</v>
      </c>
      <c r="M234" s="26">
        <v>0.5</v>
      </c>
      <c r="N234" s="27">
        <v>0.91849999999999998</v>
      </c>
      <c r="O234" s="28">
        <v>0</v>
      </c>
      <c r="P234" s="27">
        <v>0.91849999999999998</v>
      </c>
      <c r="Q234" s="54"/>
      <c r="R234" s="52"/>
      <c r="S234" s="1"/>
      <c r="T234" s="1"/>
      <c r="U234" s="1"/>
    </row>
    <row r="235" spans="1:21" ht="18" x14ac:dyDescent="0.3">
      <c r="A235" s="1"/>
      <c r="B235" s="23">
        <v>6</v>
      </c>
      <c r="C235" s="24" t="s">
        <v>134</v>
      </c>
      <c r="D235" s="25">
        <v>1</v>
      </c>
      <c r="E235" s="25">
        <v>1</v>
      </c>
      <c r="F235" s="25">
        <v>1</v>
      </c>
      <c r="G235" s="25">
        <v>0.94199999999999995</v>
      </c>
      <c r="H235" s="25">
        <v>1</v>
      </c>
      <c r="I235" s="25">
        <v>1</v>
      </c>
      <c r="J235" s="25">
        <v>1</v>
      </c>
      <c r="K235" s="25">
        <v>0.5</v>
      </c>
      <c r="L235" s="26">
        <v>1</v>
      </c>
      <c r="M235" s="26">
        <v>0.5</v>
      </c>
      <c r="N235" s="27">
        <v>0.92920000000000003</v>
      </c>
      <c r="O235" s="28">
        <v>0</v>
      </c>
      <c r="P235" s="27">
        <v>0.92920000000000003</v>
      </c>
      <c r="Q235" s="54"/>
      <c r="R235" s="52"/>
      <c r="S235" s="1"/>
      <c r="T235" s="1"/>
      <c r="U235" s="1"/>
    </row>
    <row r="236" spans="1:21" x14ac:dyDescent="0.3">
      <c r="A236" s="1"/>
      <c r="B236" s="59" t="s">
        <v>27</v>
      </c>
      <c r="C236" s="60"/>
      <c r="D236" s="31">
        <v>0.99</v>
      </c>
      <c r="E236" s="31">
        <v>1</v>
      </c>
      <c r="F236" s="31">
        <v>1</v>
      </c>
      <c r="G236" s="31">
        <v>0.96</v>
      </c>
      <c r="H236" s="31">
        <v>0.83</v>
      </c>
      <c r="I236" s="31">
        <v>0.97</v>
      </c>
      <c r="J236" s="31">
        <v>0.87</v>
      </c>
      <c r="K236" s="31">
        <v>0.67</v>
      </c>
      <c r="L236" s="31">
        <v>0.33</v>
      </c>
      <c r="M236" s="31">
        <v>0.63</v>
      </c>
      <c r="N236" s="31">
        <v>0.88</v>
      </c>
      <c r="O236" s="31">
        <v>0</v>
      </c>
      <c r="P236" s="31">
        <v>0.88</v>
      </c>
      <c r="Q236" s="54"/>
      <c r="R236" s="52"/>
      <c r="S236" s="1"/>
      <c r="T236" s="1"/>
      <c r="U236" s="1"/>
    </row>
    <row r="237" spans="1:2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52"/>
      <c r="R237" s="52"/>
      <c r="S237" s="1"/>
      <c r="T237" s="1"/>
      <c r="U237" s="1"/>
    </row>
    <row r="238" spans="1:2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52"/>
      <c r="R238" s="52"/>
      <c r="S238" s="1"/>
      <c r="T238" s="1"/>
      <c r="U238" s="1"/>
    </row>
    <row r="239" spans="1:21" ht="15.6" x14ac:dyDescent="0.3">
      <c r="A239" s="1"/>
      <c r="B239" s="3"/>
      <c r="C239" s="4" t="s">
        <v>135</v>
      </c>
      <c r="D239" s="3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5" t="s">
        <v>2</v>
      </c>
      <c r="Q239" s="54"/>
      <c r="R239" s="52"/>
      <c r="S239" s="1"/>
      <c r="T239" s="1"/>
      <c r="U239" s="1"/>
    </row>
    <row r="240" spans="1:21" ht="15.6" x14ac:dyDescent="0.3">
      <c r="A240" s="1"/>
      <c r="B240" s="3"/>
      <c r="C240" s="6">
        <v>46174</v>
      </c>
      <c r="D240" s="3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7">
        <v>0.97</v>
      </c>
      <c r="Q240" s="54"/>
      <c r="R240" s="52"/>
      <c r="S240" s="1"/>
      <c r="T240" s="1"/>
      <c r="U240" s="1"/>
    </row>
    <row r="241" spans="1:21" ht="42" x14ac:dyDescent="0.3">
      <c r="A241" s="1"/>
      <c r="B241" s="55" t="s">
        <v>3</v>
      </c>
      <c r="C241" s="55" t="s">
        <v>4</v>
      </c>
      <c r="D241" s="8" t="s">
        <v>5</v>
      </c>
      <c r="E241" s="8" t="s">
        <v>6</v>
      </c>
      <c r="F241" s="9" t="s">
        <v>7</v>
      </c>
      <c r="G241" s="9" t="s">
        <v>8</v>
      </c>
      <c r="H241" s="9" t="s">
        <v>9</v>
      </c>
      <c r="I241" s="10" t="s">
        <v>10</v>
      </c>
      <c r="J241" s="10" t="s">
        <v>11</v>
      </c>
      <c r="K241" s="11" t="s">
        <v>12</v>
      </c>
      <c r="L241" s="10" t="s">
        <v>13</v>
      </c>
      <c r="M241" s="11" t="s">
        <v>14</v>
      </c>
      <c r="N241" s="12" t="s">
        <v>15</v>
      </c>
      <c r="O241" s="57" t="s">
        <v>16</v>
      </c>
      <c r="P241" s="57" t="s">
        <v>17</v>
      </c>
      <c r="Q241" s="54"/>
      <c r="R241" s="52"/>
      <c r="S241" s="1"/>
      <c r="T241" s="1"/>
      <c r="U241" s="1"/>
    </row>
    <row r="242" spans="1:21" x14ac:dyDescent="0.3">
      <c r="A242" s="1"/>
      <c r="B242" s="56"/>
      <c r="C242" s="56"/>
      <c r="D242" s="13" t="s">
        <v>18</v>
      </c>
      <c r="E242" s="13" t="s">
        <v>18</v>
      </c>
      <c r="F242" s="13" t="s">
        <v>18</v>
      </c>
      <c r="G242" s="13" t="s">
        <v>18</v>
      </c>
      <c r="H242" s="13" t="s">
        <v>18</v>
      </c>
      <c r="I242" s="13" t="s">
        <v>18</v>
      </c>
      <c r="J242" s="13" t="s">
        <v>18</v>
      </c>
      <c r="K242" s="13" t="s">
        <v>18</v>
      </c>
      <c r="L242" s="13" t="s">
        <v>18</v>
      </c>
      <c r="M242" s="13" t="s">
        <v>18</v>
      </c>
      <c r="N242" s="14" t="s">
        <v>29</v>
      </c>
      <c r="O242" s="58"/>
      <c r="P242" s="58"/>
      <c r="Q242" s="54"/>
      <c r="R242" s="52"/>
      <c r="S242" s="1"/>
      <c r="T242" s="1"/>
      <c r="U242" s="1"/>
    </row>
    <row r="243" spans="1:21" x14ac:dyDescent="0.3">
      <c r="A243" s="1"/>
      <c r="B243" s="59" t="s">
        <v>20</v>
      </c>
      <c r="C243" s="60"/>
      <c r="D243" s="16">
        <v>0.1</v>
      </c>
      <c r="E243" s="16">
        <v>0.05</v>
      </c>
      <c r="F243" s="16">
        <v>0.1</v>
      </c>
      <c r="G243" s="16">
        <v>0.1</v>
      </c>
      <c r="H243" s="16">
        <v>0.05</v>
      </c>
      <c r="I243" s="17">
        <v>0.1</v>
      </c>
      <c r="J243" s="17">
        <v>0.35</v>
      </c>
      <c r="K243" s="17">
        <v>0.08</v>
      </c>
      <c r="L243" s="17">
        <v>0.02</v>
      </c>
      <c r="M243" s="17">
        <v>0.05</v>
      </c>
      <c r="N243" s="19">
        <v>1</v>
      </c>
      <c r="O243" s="20"/>
      <c r="P243" s="22"/>
      <c r="Q243" s="54"/>
      <c r="R243" s="52"/>
      <c r="S243" s="1"/>
      <c r="T243" s="1"/>
      <c r="U243" s="1"/>
    </row>
    <row r="244" spans="1:21" ht="18" x14ac:dyDescent="0.3">
      <c r="A244" s="1"/>
      <c r="B244" s="23">
        <v>1</v>
      </c>
      <c r="C244" s="30" t="s">
        <v>136</v>
      </c>
      <c r="D244" s="25">
        <v>1</v>
      </c>
      <c r="E244" s="25">
        <v>1</v>
      </c>
      <c r="F244" s="25">
        <v>1</v>
      </c>
      <c r="G244" s="25">
        <v>0.9728</v>
      </c>
      <c r="H244" s="25">
        <v>1</v>
      </c>
      <c r="I244" s="25">
        <v>1</v>
      </c>
      <c r="J244" s="25">
        <v>1</v>
      </c>
      <c r="K244" s="25">
        <v>1</v>
      </c>
      <c r="L244" s="26">
        <v>0</v>
      </c>
      <c r="M244" s="26">
        <v>0</v>
      </c>
      <c r="N244" s="27">
        <v>0.97609999999999997</v>
      </c>
      <c r="O244" s="28">
        <v>0</v>
      </c>
      <c r="P244" s="27">
        <v>0.97609999999999997</v>
      </c>
      <c r="Q244" s="54"/>
      <c r="R244" s="52"/>
      <c r="S244" s="1"/>
      <c r="T244" s="1"/>
      <c r="U244" s="1"/>
    </row>
    <row r="245" spans="1:21" ht="18" x14ac:dyDescent="0.3">
      <c r="A245" s="1"/>
      <c r="B245" s="23">
        <v>2</v>
      </c>
      <c r="C245" s="30" t="s">
        <v>137</v>
      </c>
      <c r="D245" s="25">
        <v>0.96</v>
      </c>
      <c r="E245" s="25">
        <v>1</v>
      </c>
      <c r="F245" s="25">
        <v>1</v>
      </c>
      <c r="G245" s="25">
        <v>1</v>
      </c>
      <c r="H245" s="25">
        <v>1</v>
      </c>
      <c r="I245" s="25">
        <v>1</v>
      </c>
      <c r="J245" s="25">
        <v>1</v>
      </c>
      <c r="K245" s="25">
        <v>1</v>
      </c>
      <c r="L245" s="26">
        <v>0</v>
      </c>
      <c r="M245" s="26">
        <v>0</v>
      </c>
      <c r="N245" s="27">
        <v>0.97470000000000001</v>
      </c>
      <c r="O245" s="28">
        <v>0</v>
      </c>
      <c r="P245" s="27">
        <v>0.97470000000000001</v>
      </c>
      <c r="Q245" s="54"/>
      <c r="R245" s="52"/>
      <c r="S245" s="1"/>
      <c r="T245" s="1"/>
      <c r="U245" s="1"/>
    </row>
    <row r="246" spans="1:21" ht="18" x14ac:dyDescent="0.3">
      <c r="A246" s="1"/>
      <c r="B246" s="23">
        <v>3</v>
      </c>
      <c r="C246" s="30" t="s">
        <v>138</v>
      </c>
      <c r="D246" s="25">
        <v>0.98</v>
      </c>
      <c r="E246" s="25">
        <v>0.98</v>
      </c>
      <c r="F246" s="25">
        <v>1</v>
      </c>
      <c r="G246" s="25">
        <v>1</v>
      </c>
      <c r="H246" s="25">
        <v>1</v>
      </c>
      <c r="I246" s="25">
        <v>0.99809999999999999</v>
      </c>
      <c r="J246" s="25">
        <v>1</v>
      </c>
      <c r="K246" s="25">
        <v>0.5</v>
      </c>
      <c r="L246" s="26">
        <v>0</v>
      </c>
      <c r="M246" s="26">
        <v>0</v>
      </c>
      <c r="N246" s="27">
        <v>0.9335</v>
      </c>
      <c r="O246" s="28">
        <v>0</v>
      </c>
      <c r="P246" s="27">
        <v>0.9335</v>
      </c>
      <c r="Q246" s="54"/>
      <c r="R246" s="52"/>
      <c r="S246" s="1"/>
      <c r="T246" s="1"/>
      <c r="U246" s="1"/>
    </row>
    <row r="247" spans="1:21" ht="18" x14ac:dyDescent="0.3">
      <c r="A247" s="1"/>
      <c r="B247" s="23">
        <v>4</v>
      </c>
      <c r="C247" s="30" t="s">
        <v>139</v>
      </c>
      <c r="D247" s="25">
        <v>0.94</v>
      </c>
      <c r="E247" s="25">
        <v>1</v>
      </c>
      <c r="F247" s="25">
        <v>1</v>
      </c>
      <c r="G247" s="25">
        <v>0.99829999999999997</v>
      </c>
      <c r="H247" s="25">
        <v>1</v>
      </c>
      <c r="I247" s="25">
        <v>1</v>
      </c>
      <c r="J247" s="25">
        <v>1</v>
      </c>
      <c r="K247" s="25">
        <v>1</v>
      </c>
      <c r="L247" s="26">
        <v>0</v>
      </c>
      <c r="M247" s="26">
        <v>0</v>
      </c>
      <c r="N247" s="27">
        <v>0.97240000000000004</v>
      </c>
      <c r="O247" s="28">
        <v>0</v>
      </c>
      <c r="P247" s="27">
        <v>0.97240000000000004</v>
      </c>
      <c r="Q247" s="54"/>
      <c r="R247" s="52"/>
      <c r="S247" s="1"/>
      <c r="T247" s="1"/>
      <c r="U247" s="1"/>
    </row>
    <row r="248" spans="1:21" ht="18" x14ac:dyDescent="0.3">
      <c r="A248" s="1"/>
      <c r="B248" s="23">
        <v>5</v>
      </c>
      <c r="C248" s="30" t="s">
        <v>140</v>
      </c>
      <c r="D248" s="25">
        <v>0.98</v>
      </c>
      <c r="E248" s="25">
        <v>1</v>
      </c>
      <c r="F248" s="25">
        <v>1</v>
      </c>
      <c r="G248" s="25">
        <v>0.91910000000000003</v>
      </c>
      <c r="H248" s="25">
        <v>1</v>
      </c>
      <c r="I248" s="25">
        <v>0.99809999999999999</v>
      </c>
      <c r="J248" s="25">
        <v>1</v>
      </c>
      <c r="K248" s="25">
        <v>0.5</v>
      </c>
      <c r="L248" s="26">
        <v>1</v>
      </c>
      <c r="M248" s="26">
        <v>0</v>
      </c>
      <c r="N248" s="27">
        <v>0.94710000000000005</v>
      </c>
      <c r="O248" s="28">
        <v>0</v>
      </c>
      <c r="P248" s="27">
        <v>0.94710000000000005</v>
      </c>
      <c r="Q248" s="54"/>
      <c r="R248" s="52"/>
      <c r="S248" s="1"/>
      <c r="T248" s="1"/>
      <c r="U248" s="1"/>
    </row>
    <row r="249" spans="1:21" ht="18" x14ac:dyDescent="0.3">
      <c r="A249" s="1"/>
      <c r="B249" s="23">
        <v>6</v>
      </c>
      <c r="C249" s="30" t="s">
        <v>141</v>
      </c>
      <c r="D249" s="25">
        <v>1</v>
      </c>
      <c r="E249" s="25">
        <v>1</v>
      </c>
      <c r="F249" s="25">
        <v>1</v>
      </c>
      <c r="G249" s="25">
        <v>0.95279999999999998</v>
      </c>
      <c r="H249" s="25">
        <v>1</v>
      </c>
      <c r="I249" s="25">
        <v>1</v>
      </c>
      <c r="J249" s="25">
        <v>1</v>
      </c>
      <c r="K249" s="25">
        <v>1</v>
      </c>
      <c r="L249" s="26">
        <v>1</v>
      </c>
      <c r="M249" s="26">
        <v>0</v>
      </c>
      <c r="N249" s="27">
        <v>0.995</v>
      </c>
      <c r="O249" s="28">
        <v>0</v>
      </c>
      <c r="P249" s="27">
        <v>0.995</v>
      </c>
      <c r="Q249" s="54"/>
      <c r="R249" s="52"/>
      <c r="S249" s="1"/>
      <c r="T249" s="1"/>
      <c r="U249" s="1"/>
    </row>
    <row r="250" spans="1:21" x14ac:dyDescent="0.3">
      <c r="A250" s="1"/>
      <c r="B250" s="59" t="s">
        <v>27</v>
      </c>
      <c r="C250" s="60"/>
      <c r="D250" s="31">
        <v>0.98</v>
      </c>
      <c r="E250" s="31">
        <v>1</v>
      </c>
      <c r="F250" s="31">
        <v>1</v>
      </c>
      <c r="G250" s="31">
        <v>0.97</v>
      </c>
      <c r="H250" s="31">
        <v>1</v>
      </c>
      <c r="I250" s="31">
        <v>1</v>
      </c>
      <c r="J250" s="31">
        <v>1</v>
      </c>
      <c r="K250" s="31">
        <v>0.83</v>
      </c>
      <c r="L250" s="31">
        <v>0.33</v>
      </c>
      <c r="M250" s="31">
        <v>0</v>
      </c>
      <c r="N250" s="31">
        <v>0.97</v>
      </c>
      <c r="O250" s="31">
        <v>0</v>
      </c>
      <c r="P250" s="31">
        <v>0.97</v>
      </c>
      <c r="Q250" s="54"/>
      <c r="R250" s="52"/>
      <c r="S250" s="1"/>
      <c r="T250" s="1"/>
      <c r="U250" s="1"/>
    </row>
    <row r="251" spans="1:2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52"/>
      <c r="R251" s="52"/>
      <c r="S251" s="1"/>
      <c r="T251" s="1"/>
      <c r="U251" s="1"/>
    </row>
    <row r="252" spans="1:2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52"/>
      <c r="R252" s="52"/>
      <c r="S252" s="1"/>
      <c r="T252" s="1"/>
      <c r="U252" s="1"/>
    </row>
    <row r="253" spans="1:21" ht="15.6" x14ac:dyDescent="0.3">
      <c r="A253" s="1"/>
      <c r="B253" s="3"/>
      <c r="C253" s="4" t="s">
        <v>142</v>
      </c>
      <c r="D253" s="3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5" t="s">
        <v>2</v>
      </c>
      <c r="Q253" s="54"/>
      <c r="R253" s="52"/>
      <c r="S253" s="1"/>
      <c r="T253" s="1"/>
      <c r="U253" s="1"/>
    </row>
    <row r="254" spans="1:21" ht="15.6" x14ac:dyDescent="0.3">
      <c r="A254" s="1"/>
      <c r="B254" s="3"/>
      <c r="C254" s="6">
        <v>46174</v>
      </c>
      <c r="D254" s="3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7">
        <v>0.94</v>
      </c>
      <c r="Q254" s="54"/>
      <c r="R254" s="52"/>
      <c r="S254" s="1"/>
      <c r="T254" s="1"/>
      <c r="U254" s="1"/>
    </row>
    <row r="255" spans="1:21" ht="42" x14ac:dyDescent="0.3">
      <c r="A255" s="1"/>
      <c r="B255" s="55" t="s">
        <v>3</v>
      </c>
      <c r="C255" s="55" t="s">
        <v>4</v>
      </c>
      <c r="D255" s="8" t="s">
        <v>5</v>
      </c>
      <c r="E255" s="8" t="s">
        <v>6</v>
      </c>
      <c r="F255" s="9" t="s">
        <v>7</v>
      </c>
      <c r="G255" s="9" t="s">
        <v>8</v>
      </c>
      <c r="H255" s="9" t="s">
        <v>9</v>
      </c>
      <c r="I255" s="10" t="s">
        <v>10</v>
      </c>
      <c r="J255" s="10" t="s">
        <v>11</v>
      </c>
      <c r="K255" s="11" t="s">
        <v>12</v>
      </c>
      <c r="L255" s="10" t="s">
        <v>13</v>
      </c>
      <c r="M255" s="11" t="s">
        <v>14</v>
      </c>
      <c r="N255" s="12" t="s">
        <v>15</v>
      </c>
      <c r="O255" s="57" t="s">
        <v>16</v>
      </c>
      <c r="P255" s="57" t="s">
        <v>17</v>
      </c>
      <c r="Q255" s="54"/>
      <c r="R255" s="52"/>
      <c r="S255" s="1"/>
      <c r="T255" s="1"/>
      <c r="U255" s="1"/>
    </row>
    <row r="256" spans="1:21" x14ac:dyDescent="0.3">
      <c r="A256" s="1"/>
      <c r="B256" s="56"/>
      <c r="C256" s="56"/>
      <c r="D256" s="13" t="s">
        <v>18</v>
      </c>
      <c r="E256" s="13" t="s">
        <v>18</v>
      </c>
      <c r="F256" s="13" t="s">
        <v>18</v>
      </c>
      <c r="G256" s="13" t="s">
        <v>18</v>
      </c>
      <c r="H256" s="13" t="s">
        <v>18</v>
      </c>
      <c r="I256" s="13" t="s">
        <v>18</v>
      </c>
      <c r="J256" s="13" t="s">
        <v>18</v>
      </c>
      <c r="K256" s="13" t="s">
        <v>18</v>
      </c>
      <c r="L256" s="13" t="s">
        <v>18</v>
      </c>
      <c r="M256" s="13" t="s">
        <v>18</v>
      </c>
      <c r="N256" s="14" t="s">
        <v>29</v>
      </c>
      <c r="O256" s="58"/>
      <c r="P256" s="58"/>
      <c r="Q256" s="54"/>
      <c r="R256" s="52"/>
      <c r="S256" s="1"/>
      <c r="T256" s="1"/>
      <c r="U256" s="1"/>
    </row>
    <row r="257" spans="1:21" x14ac:dyDescent="0.3">
      <c r="A257" s="1"/>
      <c r="B257" s="59" t="s">
        <v>20</v>
      </c>
      <c r="C257" s="60"/>
      <c r="D257" s="16">
        <v>0.1</v>
      </c>
      <c r="E257" s="16">
        <v>0.05</v>
      </c>
      <c r="F257" s="16">
        <v>0.1</v>
      </c>
      <c r="G257" s="16">
        <v>0.1</v>
      </c>
      <c r="H257" s="16">
        <v>0.05</v>
      </c>
      <c r="I257" s="17">
        <v>0.1</v>
      </c>
      <c r="J257" s="17">
        <v>0.35</v>
      </c>
      <c r="K257" s="17">
        <v>0.08</v>
      </c>
      <c r="L257" s="17">
        <v>0.02</v>
      </c>
      <c r="M257" s="17">
        <v>0.05</v>
      </c>
      <c r="N257" s="19">
        <v>1</v>
      </c>
      <c r="O257" s="20"/>
      <c r="P257" s="22"/>
      <c r="Q257" s="54"/>
      <c r="R257" s="52"/>
      <c r="S257" s="1"/>
      <c r="T257" s="1"/>
      <c r="U257" s="1"/>
    </row>
    <row r="258" spans="1:21" x14ac:dyDescent="0.3">
      <c r="A258" s="1"/>
      <c r="B258" s="23">
        <v>1</v>
      </c>
      <c r="C258" s="37" t="s">
        <v>143</v>
      </c>
      <c r="D258" s="25">
        <v>1</v>
      </c>
      <c r="E258" s="25">
        <v>1</v>
      </c>
      <c r="F258" s="25">
        <v>1</v>
      </c>
      <c r="G258" s="25">
        <v>1</v>
      </c>
      <c r="H258" s="25">
        <v>1</v>
      </c>
      <c r="I258" s="25">
        <v>1</v>
      </c>
      <c r="J258" s="25">
        <v>1</v>
      </c>
      <c r="K258" s="25">
        <v>1</v>
      </c>
      <c r="L258" s="26">
        <v>0</v>
      </c>
      <c r="M258" s="26">
        <v>0.5</v>
      </c>
      <c r="N258" s="27">
        <v>0.95499999999999996</v>
      </c>
      <c r="O258" s="28">
        <v>0</v>
      </c>
      <c r="P258" s="27">
        <v>0.95499999999999996</v>
      </c>
      <c r="Q258" s="54"/>
      <c r="R258" s="52"/>
      <c r="S258" s="1"/>
      <c r="T258" s="1"/>
      <c r="U258" s="1"/>
    </row>
    <row r="259" spans="1:21" x14ac:dyDescent="0.3">
      <c r="A259" s="1"/>
      <c r="B259" s="23">
        <v>2</v>
      </c>
      <c r="C259" s="37" t="s">
        <v>144</v>
      </c>
      <c r="D259" s="25">
        <v>1</v>
      </c>
      <c r="E259" s="25">
        <v>1</v>
      </c>
      <c r="F259" s="25">
        <v>1</v>
      </c>
      <c r="G259" s="25">
        <v>1</v>
      </c>
      <c r="H259" s="25">
        <v>1</v>
      </c>
      <c r="I259" s="25">
        <v>0.99380000000000002</v>
      </c>
      <c r="J259" s="25">
        <v>0.8</v>
      </c>
      <c r="K259" s="25">
        <v>1</v>
      </c>
      <c r="L259" s="26">
        <v>0</v>
      </c>
      <c r="M259" s="26">
        <v>1</v>
      </c>
      <c r="N259" s="27">
        <v>0.90939999999999999</v>
      </c>
      <c r="O259" s="28">
        <v>0</v>
      </c>
      <c r="P259" s="27">
        <v>0.90939999999999999</v>
      </c>
      <c r="Q259" s="54"/>
      <c r="R259" s="52"/>
      <c r="S259" s="1"/>
      <c r="T259" s="1"/>
      <c r="U259" s="1"/>
    </row>
    <row r="260" spans="1:21" x14ac:dyDescent="0.3">
      <c r="A260" s="1"/>
      <c r="B260" s="23">
        <v>3</v>
      </c>
      <c r="C260" s="37" t="s">
        <v>145</v>
      </c>
      <c r="D260" s="25">
        <v>1</v>
      </c>
      <c r="E260" s="25">
        <v>1</v>
      </c>
      <c r="F260" s="25">
        <v>1</v>
      </c>
      <c r="G260" s="25">
        <v>0.9859</v>
      </c>
      <c r="H260" s="25">
        <v>1</v>
      </c>
      <c r="I260" s="25">
        <v>1</v>
      </c>
      <c r="J260" s="25">
        <v>1</v>
      </c>
      <c r="K260" s="25">
        <v>1</v>
      </c>
      <c r="L260" s="26">
        <v>0</v>
      </c>
      <c r="M260" s="26">
        <v>1</v>
      </c>
      <c r="N260" s="27">
        <v>0.97860000000000003</v>
      </c>
      <c r="O260" s="28">
        <v>0</v>
      </c>
      <c r="P260" s="27">
        <v>0.97860000000000003</v>
      </c>
      <c r="Q260" s="54"/>
      <c r="R260" s="52"/>
      <c r="S260" s="1"/>
      <c r="T260" s="1"/>
      <c r="U260" s="1"/>
    </row>
    <row r="261" spans="1:21" x14ac:dyDescent="0.3">
      <c r="A261" s="1"/>
      <c r="B261" s="23">
        <v>4</v>
      </c>
      <c r="C261" s="37" t="s">
        <v>146</v>
      </c>
      <c r="D261" s="25">
        <v>0.88</v>
      </c>
      <c r="E261" s="25">
        <v>1</v>
      </c>
      <c r="F261" s="25">
        <v>1</v>
      </c>
      <c r="G261" s="25">
        <v>1</v>
      </c>
      <c r="H261" s="25">
        <v>1</v>
      </c>
      <c r="I261" s="25">
        <v>0.98570000000000002</v>
      </c>
      <c r="J261" s="25">
        <v>0.8</v>
      </c>
      <c r="K261" s="25">
        <v>0.5</v>
      </c>
      <c r="L261" s="26">
        <v>0</v>
      </c>
      <c r="M261" s="26">
        <v>1</v>
      </c>
      <c r="N261" s="27">
        <v>0.85660000000000003</v>
      </c>
      <c r="O261" s="28">
        <v>0</v>
      </c>
      <c r="P261" s="27">
        <v>0.85660000000000003</v>
      </c>
      <c r="Q261" s="54"/>
      <c r="R261" s="52"/>
      <c r="S261" s="1"/>
      <c r="T261" s="1"/>
      <c r="U261" s="1"/>
    </row>
    <row r="262" spans="1:21" x14ac:dyDescent="0.3">
      <c r="A262" s="1"/>
      <c r="B262" s="23">
        <v>5</v>
      </c>
      <c r="C262" s="37" t="s">
        <v>147</v>
      </c>
      <c r="D262" s="25">
        <v>1</v>
      </c>
      <c r="E262" s="25">
        <v>1</v>
      </c>
      <c r="F262" s="25">
        <v>1</v>
      </c>
      <c r="G262" s="25">
        <v>1</v>
      </c>
      <c r="H262" s="25">
        <v>1</v>
      </c>
      <c r="I262" s="25">
        <v>0.995</v>
      </c>
      <c r="J262" s="25">
        <v>1</v>
      </c>
      <c r="K262" s="25">
        <v>1</v>
      </c>
      <c r="L262" s="26">
        <v>1</v>
      </c>
      <c r="M262" s="26">
        <v>1</v>
      </c>
      <c r="N262" s="27">
        <v>0.99950000000000006</v>
      </c>
      <c r="O262" s="28">
        <v>0</v>
      </c>
      <c r="P262" s="27">
        <v>0.99950000000000006</v>
      </c>
      <c r="Q262" s="54"/>
      <c r="R262" s="52"/>
      <c r="S262" s="1"/>
      <c r="T262" s="1"/>
      <c r="U262" s="1"/>
    </row>
    <row r="263" spans="1:21" x14ac:dyDescent="0.3">
      <c r="A263" s="1"/>
      <c r="B263" s="23">
        <v>6</v>
      </c>
      <c r="C263" s="37" t="s">
        <v>148</v>
      </c>
      <c r="D263" s="25">
        <v>1</v>
      </c>
      <c r="E263" s="25">
        <v>1</v>
      </c>
      <c r="F263" s="25">
        <v>1</v>
      </c>
      <c r="G263" s="25">
        <v>0.89759999999999995</v>
      </c>
      <c r="H263" s="25">
        <v>1</v>
      </c>
      <c r="I263" s="25">
        <v>1</v>
      </c>
      <c r="J263" s="25">
        <v>1</v>
      </c>
      <c r="K263" s="25">
        <v>0.5</v>
      </c>
      <c r="L263" s="26">
        <v>0</v>
      </c>
      <c r="M263" s="26">
        <v>0.5</v>
      </c>
      <c r="N263" s="27">
        <v>0.90480000000000005</v>
      </c>
      <c r="O263" s="28">
        <v>0</v>
      </c>
      <c r="P263" s="27">
        <v>0.90480000000000005</v>
      </c>
      <c r="Q263" s="54"/>
      <c r="R263" s="52"/>
      <c r="S263" s="1"/>
      <c r="T263" s="1"/>
      <c r="U263" s="1"/>
    </row>
    <row r="264" spans="1:21" ht="43.2" x14ac:dyDescent="0.3">
      <c r="A264" s="1"/>
      <c r="B264" s="23">
        <v>7</v>
      </c>
      <c r="C264" s="38" t="s">
        <v>149</v>
      </c>
      <c r="D264" s="25">
        <v>0.98</v>
      </c>
      <c r="E264" s="25">
        <v>1</v>
      </c>
      <c r="F264" s="25">
        <v>1</v>
      </c>
      <c r="G264" s="25">
        <v>1</v>
      </c>
      <c r="H264" s="25">
        <v>1</v>
      </c>
      <c r="I264" s="25">
        <v>0.98460000000000003</v>
      </c>
      <c r="J264" s="25">
        <v>1</v>
      </c>
      <c r="K264" s="25">
        <v>1</v>
      </c>
      <c r="L264" s="26">
        <v>0</v>
      </c>
      <c r="M264" s="26">
        <v>0</v>
      </c>
      <c r="N264" s="27">
        <v>0.97519999999999996</v>
      </c>
      <c r="O264" s="28">
        <v>0</v>
      </c>
      <c r="P264" s="27">
        <v>0.97519999999999996</v>
      </c>
      <c r="Q264" s="54"/>
      <c r="R264" s="52"/>
      <c r="S264" s="1"/>
      <c r="T264" s="1"/>
      <c r="U264" s="1"/>
    </row>
    <row r="265" spans="1:21" x14ac:dyDescent="0.3">
      <c r="A265" s="1"/>
      <c r="B265" s="59" t="s">
        <v>27</v>
      </c>
      <c r="C265" s="60"/>
      <c r="D265" s="31">
        <v>0.98</v>
      </c>
      <c r="E265" s="31">
        <v>1</v>
      </c>
      <c r="F265" s="31">
        <v>1</v>
      </c>
      <c r="G265" s="31">
        <v>0.98</v>
      </c>
      <c r="H265" s="31">
        <v>1</v>
      </c>
      <c r="I265" s="31">
        <v>0.99</v>
      </c>
      <c r="J265" s="31">
        <v>0.94</v>
      </c>
      <c r="K265" s="31">
        <v>0.86</v>
      </c>
      <c r="L265" s="31">
        <v>0.14000000000000001</v>
      </c>
      <c r="M265" s="31">
        <v>0.71</v>
      </c>
      <c r="N265" s="31">
        <v>0.94</v>
      </c>
      <c r="O265" s="31">
        <v>0</v>
      </c>
      <c r="P265" s="31">
        <v>0.94</v>
      </c>
      <c r="Q265" s="54"/>
      <c r="R265" s="52"/>
      <c r="S265" s="1"/>
      <c r="T265" s="1"/>
      <c r="U265" s="1"/>
    </row>
    <row r="266" spans="1:2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52"/>
      <c r="R266" s="52"/>
      <c r="S266" s="1"/>
      <c r="T266" s="1"/>
      <c r="U266" s="1"/>
    </row>
    <row r="267" spans="1:2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52"/>
      <c r="R267" s="52"/>
      <c r="S267" s="1"/>
      <c r="T267" s="1"/>
      <c r="U267" s="1"/>
    </row>
    <row r="268" spans="1:2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52"/>
      <c r="R268" s="52"/>
      <c r="S268" s="1"/>
      <c r="T268" s="1"/>
      <c r="U268" s="1"/>
    </row>
    <row r="269" spans="1:21" ht="15.6" x14ac:dyDescent="0.3">
      <c r="A269" s="1"/>
      <c r="B269" s="3"/>
      <c r="C269" s="4" t="s">
        <v>150</v>
      </c>
      <c r="D269" s="3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5" t="s">
        <v>2</v>
      </c>
      <c r="Q269" s="54"/>
      <c r="R269" s="52"/>
      <c r="S269" s="1"/>
      <c r="T269" s="1"/>
      <c r="U269" s="1"/>
    </row>
    <row r="270" spans="1:21" ht="15.6" x14ac:dyDescent="0.3">
      <c r="A270" s="1"/>
      <c r="B270" s="3"/>
      <c r="C270" s="6">
        <v>46174</v>
      </c>
      <c r="D270" s="3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7">
        <v>0.92</v>
      </c>
      <c r="Q270" s="54"/>
      <c r="R270" s="52"/>
      <c r="S270" s="1"/>
      <c r="T270" s="1"/>
      <c r="U270" s="1"/>
    </row>
    <row r="271" spans="1:21" ht="42" x14ac:dyDescent="0.3">
      <c r="A271" s="1"/>
      <c r="B271" s="55" t="s">
        <v>3</v>
      </c>
      <c r="C271" s="55" t="s">
        <v>4</v>
      </c>
      <c r="D271" s="8" t="s">
        <v>5</v>
      </c>
      <c r="E271" s="8" t="s">
        <v>6</v>
      </c>
      <c r="F271" s="9" t="s">
        <v>7</v>
      </c>
      <c r="G271" s="9" t="s">
        <v>8</v>
      </c>
      <c r="H271" s="9" t="s">
        <v>9</v>
      </c>
      <c r="I271" s="10" t="s">
        <v>10</v>
      </c>
      <c r="J271" s="10" t="s">
        <v>11</v>
      </c>
      <c r="K271" s="11" t="s">
        <v>12</v>
      </c>
      <c r="L271" s="10" t="s">
        <v>13</v>
      </c>
      <c r="M271" s="11" t="s">
        <v>14</v>
      </c>
      <c r="N271" s="12" t="s">
        <v>15</v>
      </c>
      <c r="O271" s="57" t="s">
        <v>16</v>
      </c>
      <c r="P271" s="57" t="s">
        <v>17</v>
      </c>
      <c r="Q271" s="54"/>
      <c r="R271" s="52"/>
      <c r="S271" s="1"/>
      <c r="T271" s="1"/>
      <c r="U271" s="1"/>
    </row>
    <row r="272" spans="1:21" x14ac:dyDescent="0.3">
      <c r="A272" s="1"/>
      <c r="B272" s="56"/>
      <c r="C272" s="56"/>
      <c r="D272" s="13" t="s">
        <v>18</v>
      </c>
      <c r="E272" s="13" t="s">
        <v>18</v>
      </c>
      <c r="F272" s="13" t="s">
        <v>18</v>
      </c>
      <c r="G272" s="13" t="s">
        <v>18</v>
      </c>
      <c r="H272" s="13" t="s">
        <v>18</v>
      </c>
      <c r="I272" s="13" t="s">
        <v>18</v>
      </c>
      <c r="J272" s="13" t="s">
        <v>18</v>
      </c>
      <c r="K272" s="13" t="s">
        <v>18</v>
      </c>
      <c r="L272" s="13" t="s">
        <v>18</v>
      </c>
      <c r="M272" s="13" t="s">
        <v>18</v>
      </c>
      <c r="N272" s="14" t="s">
        <v>29</v>
      </c>
      <c r="O272" s="58"/>
      <c r="P272" s="58"/>
      <c r="Q272" s="54"/>
      <c r="R272" s="52"/>
      <c r="S272" s="1"/>
      <c r="T272" s="1"/>
      <c r="U272" s="1"/>
    </row>
    <row r="273" spans="1:21" x14ac:dyDescent="0.3">
      <c r="A273" s="1"/>
      <c r="B273" s="59" t="s">
        <v>20</v>
      </c>
      <c r="C273" s="60"/>
      <c r="D273" s="16">
        <v>0.1</v>
      </c>
      <c r="E273" s="16">
        <v>0.05</v>
      </c>
      <c r="F273" s="16">
        <v>0.1</v>
      </c>
      <c r="G273" s="16">
        <v>0.1</v>
      </c>
      <c r="H273" s="16">
        <v>0.05</v>
      </c>
      <c r="I273" s="17">
        <v>0.1</v>
      </c>
      <c r="J273" s="17">
        <v>0.35</v>
      </c>
      <c r="K273" s="17">
        <v>0.08</v>
      </c>
      <c r="L273" s="17">
        <v>0.02</v>
      </c>
      <c r="M273" s="17">
        <v>0.05</v>
      </c>
      <c r="N273" s="19">
        <v>1</v>
      </c>
      <c r="O273" s="20"/>
      <c r="P273" s="22"/>
      <c r="Q273" s="54"/>
      <c r="R273" s="52"/>
      <c r="S273" s="1"/>
      <c r="T273" s="1"/>
      <c r="U273" s="1"/>
    </row>
    <row r="274" spans="1:21" x14ac:dyDescent="0.3">
      <c r="A274" s="1"/>
      <c r="B274" s="23">
        <v>1</v>
      </c>
      <c r="C274" s="37" t="s">
        <v>151</v>
      </c>
      <c r="D274" s="25">
        <v>1</v>
      </c>
      <c r="E274" s="25">
        <v>1</v>
      </c>
      <c r="F274" s="25">
        <v>1</v>
      </c>
      <c r="G274" s="25">
        <v>1</v>
      </c>
      <c r="H274" s="25">
        <v>1</v>
      </c>
      <c r="I274" s="25">
        <v>1</v>
      </c>
      <c r="J274" s="25">
        <v>1</v>
      </c>
      <c r="K274" s="25">
        <v>1</v>
      </c>
      <c r="L274" s="26">
        <v>1</v>
      </c>
      <c r="M274" s="26">
        <v>1</v>
      </c>
      <c r="N274" s="27">
        <v>1</v>
      </c>
      <c r="O274" s="28">
        <v>0</v>
      </c>
      <c r="P274" s="27">
        <v>1</v>
      </c>
      <c r="Q274" s="54"/>
      <c r="R274" s="52"/>
      <c r="S274" s="1"/>
      <c r="T274" s="1"/>
      <c r="U274" s="1"/>
    </row>
    <row r="275" spans="1:21" x14ac:dyDescent="0.3">
      <c r="A275" s="1"/>
      <c r="B275" s="23">
        <v>2</v>
      </c>
      <c r="C275" s="37" t="s">
        <v>152</v>
      </c>
      <c r="D275" s="25">
        <v>0.94</v>
      </c>
      <c r="E275" s="25">
        <v>1</v>
      </c>
      <c r="F275" s="25">
        <v>1</v>
      </c>
      <c r="G275" s="25">
        <v>0.87819999999999998</v>
      </c>
      <c r="H275" s="25">
        <v>1</v>
      </c>
      <c r="I275" s="25">
        <v>1</v>
      </c>
      <c r="J275" s="25">
        <v>0.8</v>
      </c>
      <c r="K275" s="25">
        <v>1</v>
      </c>
      <c r="L275" s="26">
        <v>0</v>
      </c>
      <c r="M275" s="26">
        <v>1</v>
      </c>
      <c r="N275" s="27">
        <v>0.89180000000000004</v>
      </c>
      <c r="O275" s="28">
        <v>0</v>
      </c>
      <c r="P275" s="27">
        <v>0.89180000000000004</v>
      </c>
      <c r="Q275" s="54"/>
      <c r="R275" s="52"/>
      <c r="S275" s="1"/>
      <c r="T275" s="1"/>
      <c r="U275" s="1"/>
    </row>
    <row r="276" spans="1:21" x14ac:dyDescent="0.3">
      <c r="A276" s="1"/>
      <c r="B276" s="23">
        <v>3</v>
      </c>
      <c r="C276" s="37" t="s">
        <v>153</v>
      </c>
      <c r="D276" s="25">
        <v>1</v>
      </c>
      <c r="E276" s="25">
        <v>1</v>
      </c>
      <c r="F276" s="25">
        <v>1</v>
      </c>
      <c r="G276" s="25">
        <v>0.93979999999999997</v>
      </c>
      <c r="H276" s="25">
        <v>1</v>
      </c>
      <c r="I276" s="25">
        <v>0.94569999999999999</v>
      </c>
      <c r="J276" s="25">
        <v>0.8</v>
      </c>
      <c r="K276" s="25">
        <v>1</v>
      </c>
      <c r="L276" s="26">
        <v>0</v>
      </c>
      <c r="M276" s="26">
        <v>1</v>
      </c>
      <c r="N276" s="27">
        <v>0.89859999999999995</v>
      </c>
      <c r="O276" s="28">
        <v>0</v>
      </c>
      <c r="P276" s="27">
        <v>0.89859999999999995</v>
      </c>
      <c r="Q276" s="54"/>
      <c r="R276" s="52"/>
      <c r="S276" s="1"/>
      <c r="T276" s="1"/>
      <c r="U276" s="1"/>
    </row>
    <row r="277" spans="1:21" x14ac:dyDescent="0.3">
      <c r="A277" s="1"/>
      <c r="B277" s="23">
        <v>4</v>
      </c>
      <c r="C277" s="37" t="s">
        <v>154</v>
      </c>
      <c r="D277" s="25">
        <v>1</v>
      </c>
      <c r="E277" s="25">
        <v>1</v>
      </c>
      <c r="F277" s="25">
        <v>1</v>
      </c>
      <c r="G277" s="25">
        <v>0.86019999999999996</v>
      </c>
      <c r="H277" s="25">
        <v>1</v>
      </c>
      <c r="I277" s="25">
        <v>0.9919</v>
      </c>
      <c r="J277" s="25">
        <v>0.8</v>
      </c>
      <c r="K277" s="25">
        <v>0.5</v>
      </c>
      <c r="L277" s="26">
        <v>0</v>
      </c>
      <c r="M277" s="26">
        <v>1</v>
      </c>
      <c r="N277" s="27">
        <v>0.85519999999999996</v>
      </c>
      <c r="O277" s="28">
        <v>0</v>
      </c>
      <c r="P277" s="27">
        <v>0.85519999999999996</v>
      </c>
      <c r="Q277" s="54"/>
      <c r="R277" s="52"/>
      <c r="S277" s="1"/>
      <c r="T277" s="1"/>
      <c r="U277" s="1"/>
    </row>
    <row r="278" spans="1:21" x14ac:dyDescent="0.3">
      <c r="A278" s="1"/>
      <c r="B278" s="23">
        <v>5</v>
      </c>
      <c r="C278" s="37" t="s">
        <v>155</v>
      </c>
      <c r="D278" s="25">
        <v>1</v>
      </c>
      <c r="E278" s="25">
        <v>0.99</v>
      </c>
      <c r="F278" s="25">
        <v>1</v>
      </c>
      <c r="G278" s="25">
        <v>0.71230000000000004</v>
      </c>
      <c r="H278" s="25">
        <v>0</v>
      </c>
      <c r="I278" s="25">
        <v>1</v>
      </c>
      <c r="J278" s="25">
        <v>1</v>
      </c>
      <c r="K278" s="25">
        <v>0.5</v>
      </c>
      <c r="L278" s="26">
        <v>0</v>
      </c>
      <c r="M278" s="26">
        <v>1</v>
      </c>
      <c r="N278" s="27">
        <v>0.86070000000000002</v>
      </c>
      <c r="O278" s="28">
        <v>0</v>
      </c>
      <c r="P278" s="27">
        <v>0.86070000000000002</v>
      </c>
      <c r="Q278" s="54"/>
      <c r="R278" s="52"/>
      <c r="S278" s="1"/>
      <c r="T278" s="1"/>
      <c r="U278" s="1"/>
    </row>
    <row r="279" spans="1:21" x14ac:dyDescent="0.3">
      <c r="A279" s="1"/>
      <c r="B279" s="23"/>
      <c r="C279" s="37" t="s">
        <v>156</v>
      </c>
      <c r="D279" s="25">
        <v>1</v>
      </c>
      <c r="E279" s="25">
        <v>1</v>
      </c>
      <c r="F279" s="25">
        <v>1</v>
      </c>
      <c r="G279" s="25">
        <v>0.9355</v>
      </c>
      <c r="H279" s="25">
        <v>1</v>
      </c>
      <c r="I279" s="25">
        <v>0.99780000000000002</v>
      </c>
      <c r="J279" s="25">
        <v>1</v>
      </c>
      <c r="K279" s="25">
        <v>1</v>
      </c>
      <c r="L279" s="26">
        <v>1</v>
      </c>
      <c r="M279" s="26">
        <v>1</v>
      </c>
      <c r="N279" s="27">
        <v>0.99329999999999996</v>
      </c>
      <c r="O279" s="28">
        <v>0</v>
      </c>
      <c r="P279" s="27">
        <v>0.99329999999999996</v>
      </c>
      <c r="Q279" s="54"/>
      <c r="R279" s="52"/>
      <c r="S279" s="1"/>
      <c r="T279" s="1"/>
      <c r="U279" s="1"/>
    </row>
    <row r="280" spans="1:21" x14ac:dyDescent="0.3">
      <c r="A280" s="1"/>
      <c r="B280" s="59" t="s">
        <v>27</v>
      </c>
      <c r="C280" s="60"/>
      <c r="D280" s="31">
        <v>0.99</v>
      </c>
      <c r="E280" s="31">
        <v>1</v>
      </c>
      <c r="F280" s="31">
        <v>1</v>
      </c>
      <c r="G280" s="31">
        <v>0.89</v>
      </c>
      <c r="H280" s="31">
        <v>0.83</v>
      </c>
      <c r="I280" s="31">
        <v>0.99</v>
      </c>
      <c r="J280" s="31">
        <v>0.9</v>
      </c>
      <c r="K280" s="31">
        <v>0.83</v>
      </c>
      <c r="L280" s="31">
        <v>0.33</v>
      </c>
      <c r="M280" s="31">
        <v>1</v>
      </c>
      <c r="N280" s="31">
        <v>0.92</v>
      </c>
      <c r="O280" s="31">
        <v>0</v>
      </c>
      <c r="P280" s="31">
        <v>0.92</v>
      </c>
      <c r="Q280" s="54"/>
      <c r="R280" s="52"/>
      <c r="S280" s="1"/>
      <c r="T280" s="1"/>
      <c r="U280" s="1"/>
    </row>
    <row r="281" spans="1:2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52"/>
      <c r="R281" s="52"/>
      <c r="S281" s="1"/>
      <c r="T281" s="1"/>
      <c r="U281" s="1"/>
    </row>
    <row r="282" spans="1:2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52"/>
      <c r="R282" s="52"/>
      <c r="S282" s="1"/>
      <c r="T282" s="1"/>
      <c r="U282" s="1"/>
    </row>
    <row r="283" spans="1:2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52"/>
      <c r="R283" s="52"/>
      <c r="S283" s="1"/>
      <c r="T283" s="1"/>
      <c r="U283" s="1"/>
    </row>
    <row r="284" spans="1:21" ht="15.6" x14ac:dyDescent="0.3">
      <c r="A284" s="1"/>
      <c r="B284" s="3"/>
      <c r="C284" s="4" t="s">
        <v>157</v>
      </c>
      <c r="D284" s="3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5" t="s">
        <v>2</v>
      </c>
      <c r="Q284" s="54"/>
      <c r="R284" s="52"/>
      <c r="S284" s="1"/>
      <c r="T284" s="1"/>
      <c r="U284" s="1"/>
    </row>
    <row r="285" spans="1:21" ht="15.6" x14ac:dyDescent="0.3">
      <c r="A285" s="1"/>
      <c r="B285" s="3"/>
      <c r="C285" s="6">
        <v>46174</v>
      </c>
      <c r="D285" s="3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7">
        <v>0.93</v>
      </c>
      <c r="Q285" s="54"/>
      <c r="R285" s="52"/>
      <c r="S285" s="1"/>
      <c r="T285" s="1"/>
      <c r="U285" s="1"/>
    </row>
    <row r="286" spans="1:21" ht="42" x14ac:dyDescent="0.3">
      <c r="A286" s="1"/>
      <c r="B286" s="55" t="s">
        <v>3</v>
      </c>
      <c r="C286" s="55" t="s">
        <v>4</v>
      </c>
      <c r="D286" s="8" t="s">
        <v>5</v>
      </c>
      <c r="E286" s="8" t="s">
        <v>6</v>
      </c>
      <c r="F286" s="9" t="s">
        <v>7</v>
      </c>
      <c r="G286" s="9" t="s">
        <v>8</v>
      </c>
      <c r="H286" s="9" t="s">
        <v>9</v>
      </c>
      <c r="I286" s="10" t="s">
        <v>10</v>
      </c>
      <c r="J286" s="10" t="s">
        <v>11</v>
      </c>
      <c r="K286" s="11" t="s">
        <v>12</v>
      </c>
      <c r="L286" s="10" t="s">
        <v>13</v>
      </c>
      <c r="M286" s="11" t="s">
        <v>14</v>
      </c>
      <c r="N286" s="12" t="s">
        <v>15</v>
      </c>
      <c r="O286" s="57" t="s">
        <v>16</v>
      </c>
      <c r="P286" s="57" t="s">
        <v>17</v>
      </c>
      <c r="Q286" s="54"/>
      <c r="R286" s="52"/>
      <c r="S286" s="1"/>
      <c r="T286" s="1"/>
      <c r="U286" s="1"/>
    </row>
    <row r="287" spans="1:21" x14ac:dyDescent="0.3">
      <c r="A287" s="1"/>
      <c r="B287" s="56"/>
      <c r="C287" s="56"/>
      <c r="D287" s="13" t="s">
        <v>18</v>
      </c>
      <c r="E287" s="13" t="s">
        <v>18</v>
      </c>
      <c r="F287" s="13" t="s">
        <v>18</v>
      </c>
      <c r="G287" s="13" t="s">
        <v>18</v>
      </c>
      <c r="H287" s="13" t="s">
        <v>18</v>
      </c>
      <c r="I287" s="13" t="s">
        <v>18</v>
      </c>
      <c r="J287" s="13" t="s">
        <v>18</v>
      </c>
      <c r="K287" s="13" t="s">
        <v>18</v>
      </c>
      <c r="L287" s="13" t="s">
        <v>18</v>
      </c>
      <c r="M287" s="13" t="s">
        <v>18</v>
      </c>
      <c r="N287" s="14" t="s">
        <v>29</v>
      </c>
      <c r="O287" s="58"/>
      <c r="P287" s="58"/>
      <c r="Q287" s="54"/>
      <c r="R287" s="52"/>
      <c r="S287" s="1"/>
      <c r="T287" s="1"/>
      <c r="U287" s="1"/>
    </row>
    <row r="288" spans="1:21" x14ac:dyDescent="0.3">
      <c r="A288" s="1"/>
      <c r="B288" s="59" t="s">
        <v>20</v>
      </c>
      <c r="C288" s="60"/>
      <c r="D288" s="16">
        <v>0.1</v>
      </c>
      <c r="E288" s="16">
        <v>0.05</v>
      </c>
      <c r="F288" s="16">
        <v>0.1</v>
      </c>
      <c r="G288" s="16">
        <v>0.1</v>
      </c>
      <c r="H288" s="16">
        <v>0.05</v>
      </c>
      <c r="I288" s="17">
        <v>0.1</v>
      </c>
      <c r="J288" s="17">
        <v>0.35</v>
      </c>
      <c r="K288" s="17">
        <v>0.08</v>
      </c>
      <c r="L288" s="17">
        <v>0.02</v>
      </c>
      <c r="M288" s="17">
        <v>0.05</v>
      </c>
      <c r="N288" s="19">
        <v>1</v>
      </c>
      <c r="O288" s="20"/>
      <c r="P288" s="22"/>
      <c r="Q288" s="54"/>
      <c r="R288" s="52"/>
      <c r="S288" s="1"/>
      <c r="T288" s="1"/>
      <c r="U288" s="1"/>
    </row>
    <row r="289" spans="1:21" ht="15" x14ac:dyDescent="0.3">
      <c r="A289" s="1"/>
      <c r="B289" s="23">
        <v>1</v>
      </c>
      <c r="C289" s="39" t="s">
        <v>158</v>
      </c>
      <c r="D289" s="25">
        <v>1</v>
      </c>
      <c r="E289" s="25">
        <v>1</v>
      </c>
      <c r="F289" s="25">
        <v>1</v>
      </c>
      <c r="G289" s="25">
        <v>1</v>
      </c>
      <c r="H289" s="25">
        <v>1</v>
      </c>
      <c r="I289" s="25">
        <v>1</v>
      </c>
      <c r="J289" s="25">
        <v>1</v>
      </c>
      <c r="K289" s="25">
        <v>1</v>
      </c>
      <c r="L289" s="26">
        <v>0</v>
      </c>
      <c r="M289" s="26">
        <v>1</v>
      </c>
      <c r="N289" s="27">
        <v>0.98</v>
      </c>
      <c r="O289" s="28">
        <v>0</v>
      </c>
      <c r="P289" s="27">
        <v>0.98</v>
      </c>
      <c r="Q289" s="54"/>
      <c r="R289" s="52"/>
      <c r="S289" s="1"/>
      <c r="T289" s="1"/>
      <c r="U289" s="1"/>
    </row>
    <row r="290" spans="1:21" ht="15" x14ac:dyDescent="0.3">
      <c r="A290" s="1"/>
      <c r="B290" s="23">
        <v>2</v>
      </c>
      <c r="C290" s="39" t="s">
        <v>159</v>
      </c>
      <c r="D290" s="25">
        <v>1</v>
      </c>
      <c r="E290" s="25">
        <v>1</v>
      </c>
      <c r="F290" s="25">
        <v>1</v>
      </c>
      <c r="G290" s="25">
        <v>0.99360000000000004</v>
      </c>
      <c r="H290" s="25">
        <v>1</v>
      </c>
      <c r="I290" s="25">
        <v>0.99790000000000001</v>
      </c>
      <c r="J290" s="25">
        <v>1</v>
      </c>
      <c r="K290" s="25">
        <v>0</v>
      </c>
      <c r="L290" s="26">
        <v>0</v>
      </c>
      <c r="M290" s="26">
        <v>1</v>
      </c>
      <c r="N290" s="27">
        <v>0.8992</v>
      </c>
      <c r="O290" s="28">
        <v>0</v>
      </c>
      <c r="P290" s="27">
        <v>0.8992</v>
      </c>
      <c r="Q290" s="54"/>
      <c r="R290" s="52"/>
      <c r="S290" s="1"/>
      <c r="T290" s="1"/>
      <c r="U290" s="1"/>
    </row>
    <row r="291" spans="1:21" ht="15" x14ac:dyDescent="0.3">
      <c r="A291" s="1"/>
      <c r="B291" s="23">
        <v>3</v>
      </c>
      <c r="C291" s="39" t="s">
        <v>160</v>
      </c>
      <c r="D291" s="25">
        <v>1</v>
      </c>
      <c r="E291" s="25">
        <v>1</v>
      </c>
      <c r="F291" s="25">
        <v>1</v>
      </c>
      <c r="G291" s="25">
        <v>1</v>
      </c>
      <c r="H291" s="25">
        <v>1</v>
      </c>
      <c r="I291" s="25">
        <v>1</v>
      </c>
      <c r="J291" s="25">
        <v>1</v>
      </c>
      <c r="K291" s="25">
        <v>1</v>
      </c>
      <c r="L291" s="26">
        <v>1</v>
      </c>
      <c r="M291" s="26">
        <v>1</v>
      </c>
      <c r="N291" s="27">
        <v>1</v>
      </c>
      <c r="O291" s="28">
        <v>0</v>
      </c>
      <c r="P291" s="27">
        <v>1</v>
      </c>
      <c r="Q291" s="54"/>
      <c r="R291" s="52"/>
      <c r="S291" s="1"/>
      <c r="T291" s="1"/>
      <c r="U291" s="1"/>
    </row>
    <row r="292" spans="1:21" ht="15" x14ac:dyDescent="0.3">
      <c r="A292" s="1"/>
      <c r="B292" s="23">
        <v>4</v>
      </c>
      <c r="C292" s="39" t="s">
        <v>161</v>
      </c>
      <c r="D292" s="25">
        <v>1</v>
      </c>
      <c r="E292" s="25">
        <v>1</v>
      </c>
      <c r="F292" s="25">
        <v>1</v>
      </c>
      <c r="G292" s="25">
        <v>1</v>
      </c>
      <c r="H292" s="25">
        <v>1</v>
      </c>
      <c r="I292" s="25">
        <v>0.98550000000000004</v>
      </c>
      <c r="J292" s="25">
        <v>0.8</v>
      </c>
      <c r="K292" s="25">
        <v>1</v>
      </c>
      <c r="L292" s="26">
        <v>0</v>
      </c>
      <c r="M292" s="26">
        <v>0.5</v>
      </c>
      <c r="N292" s="27">
        <v>0.88360000000000005</v>
      </c>
      <c r="O292" s="28">
        <v>0</v>
      </c>
      <c r="P292" s="27">
        <v>0.88360000000000005</v>
      </c>
      <c r="Q292" s="54"/>
      <c r="R292" s="52"/>
      <c r="S292" s="1"/>
      <c r="T292" s="1"/>
      <c r="U292" s="1"/>
    </row>
    <row r="293" spans="1:21" ht="15" x14ac:dyDescent="0.3">
      <c r="A293" s="1"/>
      <c r="B293" s="23">
        <v>5</v>
      </c>
      <c r="C293" s="39" t="s">
        <v>162</v>
      </c>
      <c r="D293" s="25">
        <v>1</v>
      </c>
      <c r="E293" s="25">
        <v>1</v>
      </c>
      <c r="F293" s="25">
        <v>1</v>
      </c>
      <c r="G293" s="25">
        <v>1</v>
      </c>
      <c r="H293" s="25">
        <v>1</v>
      </c>
      <c r="I293" s="25">
        <v>0.99180000000000001</v>
      </c>
      <c r="J293" s="25">
        <v>0.8</v>
      </c>
      <c r="K293" s="25">
        <v>1</v>
      </c>
      <c r="L293" s="26">
        <v>0</v>
      </c>
      <c r="M293" s="26">
        <v>1</v>
      </c>
      <c r="N293" s="27">
        <v>0.90920000000000001</v>
      </c>
      <c r="O293" s="28">
        <v>0</v>
      </c>
      <c r="P293" s="27">
        <v>0.90920000000000001</v>
      </c>
      <c r="Q293" s="54"/>
      <c r="R293" s="52"/>
      <c r="S293" s="1"/>
      <c r="T293" s="1"/>
      <c r="U293" s="1"/>
    </row>
    <row r="294" spans="1:21" x14ac:dyDescent="0.3">
      <c r="A294" s="1"/>
      <c r="B294" s="59" t="s">
        <v>27</v>
      </c>
      <c r="C294" s="60"/>
      <c r="D294" s="31">
        <v>1</v>
      </c>
      <c r="E294" s="31">
        <v>1</v>
      </c>
      <c r="F294" s="31">
        <v>1</v>
      </c>
      <c r="G294" s="31">
        <v>1</v>
      </c>
      <c r="H294" s="31">
        <v>1</v>
      </c>
      <c r="I294" s="31">
        <v>1</v>
      </c>
      <c r="J294" s="31">
        <v>0.92</v>
      </c>
      <c r="K294" s="31">
        <v>0.8</v>
      </c>
      <c r="L294" s="31">
        <v>0.2</v>
      </c>
      <c r="M294" s="31">
        <v>0.9</v>
      </c>
      <c r="N294" s="31">
        <v>0.93</v>
      </c>
      <c r="O294" s="31">
        <v>0</v>
      </c>
      <c r="P294" s="31">
        <v>0.93</v>
      </c>
      <c r="Q294" s="54"/>
      <c r="R294" s="52"/>
      <c r="S294" s="1"/>
      <c r="T294" s="1"/>
      <c r="U294" s="1"/>
    </row>
    <row r="295" spans="1:2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52"/>
      <c r="R295" s="52"/>
      <c r="S295" s="1"/>
      <c r="T295" s="1"/>
      <c r="U295" s="1"/>
    </row>
    <row r="296" spans="1:2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52"/>
      <c r="R296" s="52"/>
      <c r="S296" s="1"/>
      <c r="T296" s="1"/>
      <c r="U296" s="1"/>
    </row>
    <row r="297" spans="1:2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52"/>
      <c r="R297" s="52"/>
      <c r="S297" s="1"/>
      <c r="T297" s="1"/>
      <c r="U297" s="1"/>
    </row>
    <row r="298" spans="1:21" ht="15.6" x14ac:dyDescent="0.3">
      <c r="A298" s="1"/>
      <c r="B298" s="3"/>
      <c r="C298" s="4" t="s">
        <v>163</v>
      </c>
      <c r="D298" s="3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5" t="s">
        <v>2</v>
      </c>
      <c r="Q298" s="54"/>
      <c r="R298" s="52"/>
      <c r="S298" s="1"/>
      <c r="T298" s="1"/>
      <c r="U298" s="1"/>
    </row>
    <row r="299" spans="1:21" ht="15.6" x14ac:dyDescent="0.3">
      <c r="A299" s="1"/>
      <c r="B299" s="3"/>
      <c r="C299" s="6">
        <v>46174</v>
      </c>
      <c r="D299" s="3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7">
        <v>0.91</v>
      </c>
      <c r="Q299" s="54"/>
      <c r="R299" s="52"/>
      <c r="S299" s="1"/>
      <c r="T299" s="1"/>
      <c r="U299" s="1"/>
    </row>
    <row r="300" spans="1:21" ht="42" x14ac:dyDescent="0.3">
      <c r="A300" s="1"/>
      <c r="B300" s="55" t="s">
        <v>3</v>
      </c>
      <c r="C300" s="55" t="s">
        <v>4</v>
      </c>
      <c r="D300" s="8" t="s">
        <v>5</v>
      </c>
      <c r="E300" s="8" t="s">
        <v>6</v>
      </c>
      <c r="F300" s="9" t="s">
        <v>7</v>
      </c>
      <c r="G300" s="9" t="s">
        <v>8</v>
      </c>
      <c r="H300" s="9" t="s">
        <v>9</v>
      </c>
      <c r="I300" s="10" t="s">
        <v>10</v>
      </c>
      <c r="J300" s="10" t="s">
        <v>11</v>
      </c>
      <c r="K300" s="11" t="s">
        <v>12</v>
      </c>
      <c r="L300" s="10" t="s">
        <v>13</v>
      </c>
      <c r="M300" s="11" t="s">
        <v>14</v>
      </c>
      <c r="N300" s="12" t="s">
        <v>15</v>
      </c>
      <c r="O300" s="57" t="s">
        <v>16</v>
      </c>
      <c r="P300" s="57" t="s">
        <v>17</v>
      </c>
      <c r="Q300" s="54"/>
      <c r="R300" s="52"/>
      <c r="S300" s="1"/>
      <c r="T300" s="1"/>
      <c r="U300" s="1"/>
    </row>
    <row r="301" spans="1:21" x14ac:dyDescent="0.3">
      <c r="A301" s="1"/>
      <c r="B301" s="56"/>
      <c r="C301" s="56"/>
      <c r="D301" s="13" t="s">
        <v>18</v>
      </c>
      <c r="E301" s="13" t="s">
        <v>18</v>
      </c>
      <c r="F301" s="13" t="s">
        <v>18</v>
      </c>
      <c r="G301" s="13" t="s">
        <v>18</v>
      </c>
      <c r="H301" s="13" t="s">
        <v>18</v>
      </c>
      <c r="I301" s="13" t="s">
        <v>18</v>
      </c>
      <c r="J301" s="13" t="s">
        <v>18</v>
      </c>
      <c r="K301" s="13" t="s">
        <v>18</v>
      </c>
      <c r="L301" s="13" t="s">
        <v>18</v>
      </c>
      <c r="M301" s="13" t="s">
        <v>18</v>
      </c>
      <c r="N301" s="14" t="s">
        <v>29</v>
      </c>
      <c r="O301" s="58"/>
      <c r="P301" s="58"/>
      <c r="Q301" s="54"/>
      <c r="R301" s="52"/>
      <c r="S301" s="1"/>
      <c r="T301" s="1"/>
      <c r="U301" s="1"/>
    </row>
    <row r="302" spans="1:21" x14ac:dyDescent="0.3">
      <c r="A302" s="1"/>
      <c r="B302" s="59" t="s">
        <v>20</v>
      </c>
      <c r="C302" s="60"/>
      <c r="D302" s="16">
        <v>0.1</v>
      </c>
      <c r="E302" s="16">
        <v>0.05</v>
      </c>
      <c r="F302" s="16">
        <v>0.1</v>
      </c>
      <c r="G302" s="16">
        <v>0.1</v>
      </c>
      <c r="H302" s="16">
        <v>0.05</v>
      </c>
      <c r="I302" s="17">
        <v>0.1</v>
      </c>
      <c r="J302" s="17">
        <v>0.35</v>
      </c>
      <c r="K302" s="17">
        <v>0.08</v>
      </c>
      <c r="L302" s="17">
        <v>0.02</v>
      </c>
      <c r="M302" s="17">
        <v>0.05</v>
      </c>
      <c r="N302" s="19">
        <v>1</v>
      </c>
      <c r="O302" s="20"/>
      <c r="P302" s="22"/>
      <c r="Q302" s="54"/>
      <c r="R302" s="52"/>
      <c r="S302" s="1"/>
      <c r="T302" s="1"/>
      <c r="U302" s="1"/>
    </row>
    <row r="303" spans="1:21" x14ac:dyDescent="0.3">
      <c r="A303" s="1"/>
      <c r="B303" s="23">
        <v>1</v>
      </c>
      <c r="C303" s="37" t="s">
        <v>164</v>
      </c>
      <c r="D303" s="25">
        <v>1</v>
      </c>
      <c r="E303" s="25">
        <v>0.98</v>
      </c>
      <c r="F303" s="25">
        <v>1</v>
      </c>
      <c r="G303" s="25">
        <v>1</v>
      </c>
      <c r="H303" s="25">
        <v>1</v>
      </c>
      <c r="I303" s="25">
        <v>1</v>
      </c>
      <c r="J303" s="25">
        <v>1</v>
      </c>
      <c r="K303" s="25">
        <v>1</v>
      </c>
      <c r="L303" s="26">
        <v>0</v>
      </c>
      <c r="M303" s="26">
        <v>0.5</v>
      </c>
      <c r="N303" s="27">
        <v>0.95399999999999996</v>
      </c>
      <c r="O303" s="28">
        <v>0</v>
      </c>
      <c r="P303" s="27">
        <v>0.95399999999999996</v>
      </c>
      <c r="Q303" s="54"/>
      <c r="R303" s="52"/>
      <c r="S303" s="1"/>
      <c r="T303" s="1"/>
      <c r="U303" s="1"/>
    </row>
    <row r="304" spans="1:21" x14ac:dyDescent="0.3">
      <c r="A304" s="1"/>
      <c r="B304" s="23">
        <v>2</v>
      </c>
      <c r="C304" s="37" t="s">
        <v>165</v>
      </c>
      <c r="D304" s="25">
        <v>1</v>
      </c>
      <c r="E304" s="25">
        <v>1</v>
      </c>
      <c r="F304" s="25">
        <v>1</v>
      </c>
      <c r="G304" s="25">
        <v>1</v>
      </c>
      <c r="H304" s="25">
        <v>1</v>
      </c>
      <c r="I304" s="25">
        <v>0.99</v>
      </c>
      <c r="J304" s="25">
        <v>0.8</v>
      </c>
      <c r="K304" s="25">
        <v>1</v>
      </c>
      <c r="L304" s="26">
        <v>0</v>
      </c>
      <c r="M304" s="26">
        <v>0.5</v>
      </c>
      <c r="N304" s="27">
        <v>0.88400000000000001</v>
      </c>
      <c r="O304" s="28">
        <v>0</v>
      </c>
      <c r="P304" s="27">
        <v>0.88400000000000001</v>
      </c>
      <c r="Q304" s="54"/>
      <c r="R304" s="52"/>
      <c r="S304" s="1"/>
      <c r="T304" s="1"/>
      <c r="U304" s="1"/>
    </row>
    <row r="305" spans="1:21" x14ac:dyDescent="0.3">
      <c r="A305" s="1"/>
      <c r="B305" s="23">
        <v>3</v>
      </c>
      <c r="C305" s="37" t="s">
        <v>166</v>
      </c>
      <c r="D305" s="25">
        <v>1</v>
      </c>
      <c r="E305" s="25">
        <v>1</v>
      </c>
      <c r="F305" s="25">
        <v>1</v>
      </c>
      <c r="G305" s="25">
        <v>1</v>
      </c>
      <c r="H305" s="25">
        <v>1</v>
      </c>
      <c r="I305" s="25">
        <v>0.99</v>
      </c>
      <c r="J305" s="25">
        <v>0.8</v>
      </c>
      <c r="K305" s="25">
        <v>1</v>
      </c>
      <c r="L305" s="26">
        <v>0</v>
      </c>
      <c r="M305" s="26">
        <v>0.5</v>
      </c>
      <c r="N305" s="27">
        <v>0.88400000000000001</v>
      </c>
      <c r="O305" s="28">
        <v>0</v>
      </c>
      <c r="P305" s="27">
        <v>0.88400000000000001</v>
      </c>
      <c r="Q305" s="54"/>
      <c r="R305" s="52"/>
      <c r="S305" s="1"/>
      <c r="T305" s="1"/>
      <c r="U305" s="1"/>
    </row>
    <row r="306" spans="1:21" x14ac:dyDescent="0.3">
      <c r="A306" s="1"/>
      <c r="B306" s="23">
        <v>4</v>
      </c>
      <c r="C306" s="37" t="s">
        <v>167</v>
      </c>
      <c r="D306" s="25">
        <v>1</v>
      </c>
      <c r="E306" s="25">
        <v>1</v>
      </c>
      <c r="F306" s="25">
        <v>1</v>
      </c>
      <c r="G306" s="25">
        <v>1</v>
      </c>
      <c r="H306" s="25">
        <v>1</v>
      </c>
      <c r="I306" s="25">
        <v>0.99</v>
      </c>
      <c r="J306" s="25">
        <v>0.8</v>
      </c>
      <c r="K306" s="25">
        <v>1</v>
      </c>
      <c r="L306" s="26">
        <v>0</v>
      </c>
      <c r="M306" s="26">
        <v>0.5</v>
      </c>
      <c r="N306" s="27">
        <v>0.88400000000000001</v>
      </c>
      <c r="O306" s="28">
        <v>0</v>
      </c>
      <c r="P306" s="27">
        <v>0.88400000000000001</v>
      </c>
      <c r="Q306" s="54"/>
      <c r="R306" s="52"/>
      <c r="S306" s="1"/>
      <c r="T306" s="1"/>
      <c r="U306" s="1"/>
    </row>
    <row r="307" spans="1:21" x14ac:dyDescent="0.3">
      <c r="A307" s="1"/>
      <c r="B307" s="23">
        <v>5</v>
      </c>
      <c r="C307" s="37" t="s">
        <v>168</v>
      </c>
      <c r="D307" s="25">
        <v>1</v>
      </c>
      <c r="E307" s="25">
        <v>1</v>
      </c>
      <c r="F307" s="25">
        <v>1</v>
      </c>
      <c r="G307" s="25">
        <v>1</v>
      </c>
      <c r="H307" s="25">
        <v>1</v>
      </c>
      <c r="I307" s="25">
        <v>0.96599999999999997</v>
      </c>
      <c r="J307" s="25">
        <v>1</v>
      </c>
      <c r="K307" s="25">
        <v>0.5</v>
      </c>
      <c r="L307" s="26">
        <v>1</v>
      </c>
      <c r="M307" s="26">
        <v>1</v>
      </c>
      <c r="N307" s="27">
        <v>0.95660000000000001</v>
      </c>
      <c r="O307" s="28">
        <v>0</v>
      </c>
      <c r="P307" s="27">
        <v>0.95660000000000001</v>
      </c>
      <c r="Q307" s="54"/>
      <c r="R307" s="52"/>
      <c r="S307" s="1"/>
      <c r="T307" s="1"/>
      <c r="U307" s="1"/>
    </row>
    <row r="308" spans="1:21" x14ac:dyDescent="0.3">
      <c r="A308" s="1"/>
      <c r="B308" s="23">
        <v>6</v>
      </c>
      <c r="C308" s="37" t="s">
        <v>169</v>
      </c>
      <c r="D308" s="25">
        <v>1</v>
      </c>
      <c r="E308" s="25">
        <v>1</v>
      </c>
      <c r="F308" s="25">
        <v>1</v>
      </c>
      <c r="G308" s="25">
        <v>1</v>
      </c>
      <c r="H308" s="25">
        <v>1</v>
      </c>
      <c r="I308" s="25">
        <v>1</v>
      </c>
      <c r="J308" s="25">
        <v>0.8</v>
      </c>
      <c r="K308" s="25">
        <v>1</v>
      </c>
      <c r="L308" s="26">
        <v>1</v>
      </c>
      <c r="M308" s="26">
        <v>1</v>
      </c>
      <c r="N308" s="27">
        <v>0.93</v>
      </c>
      <c r="O308" s="28">
        <v>0</v>
      </c>
      <c r="P308" s="27">
        <v>0.93</v>
      </c>
      <c r="Q308" s="54"/>
      <c r="R308" s="52"/>
      <c r="S308" s="1"/>
      <c r="T308" s="1"/>
      <c r="U308" s="1"/>
    </row>
    <row r="309" spans="1:21" x14ac:dyDescent="0.3">
      <c r="A309" s="1"/>
      <c r="B309" s="23">
        <v>7</v>
      </c>
      <c r="C309" s="37" t="s">
        <v>170</v>
      </c>
      <c r="D309" s="25">
        <v>1</v>
      </c>
      <c r="E309" s="25">
        <v>1</v>
      </c>
      <c r="F309" s="25">
        <v>1</v>
      </c>
      <c r="G309" s="25">
        <v>1</v>
      </c>
      <c r="H309" s="25">
        <v>1</v>
      </c>
      <c r="I309" s="25">
        <v>1</v>
      </c>
      <c r="J309" s="25">
        <v>1</v>
      </c>
      <c r="K309" s="25">
        <v>0.5</v>
      </c>
      <c r="L309" s="26">
        <v>0</v>
      </c>
      <c r="M309" s="26">
        <v>1</v>
      </c>
      <c r="N309" s="27">
        <v>0.94</v>
      </c>
      <c r="O309" s="28">
        <v>0</v>
      </c>
      <c r="P309" s="27">
        <v>0.94</v>
      </c>
      <c r="Q309" s="54"/>
      <c r="R309" s="52"/>
      <c r="S309" s="1"/>
      <c r="T309" s="1"/>
      <c r="U309" s="1"/>
    </row>
    <row r="310" spans="1:21" x14ac:dyDescent="0.3">
      <c r="A310" s="1"/>
      <c r="B310" s="23">
        <v>8</v>
      </c>
      <c r="C310" s="37" t="s">
        <v>171</v>
      </c>
      <c r="D310" s="25">
        <v>0.98</v>
      </c>
      <c r="E310" s="25">
        <v>1</v>
      </c>
      <c r="F310" s="25">
        <v>1</v>
      </c>
      <c r="G310" s="25">
        <v>0.83260000000000001</v>
      </c>
      <c r="H310" s="25">
        <v>0</v>
      </c>
      <c r="I310" s="25">
        <v>1</v>
      </c>
      <c r="J310" s="25">
        <v>1</v>
      </c>
      <c r="K310" s="25">
        <v>0.5</v>
      </c>
      <c r="L310" s="26">
        <v>0</v>
      </c>
      <c r="M310" s="26">
        <v>0.75</v>
      </c>
      <c r="N310" s="27">
        <v>0.85880000000000001</v>
      </c>
      <c r="O310" s="28">
        <v>0</v>
      </c>
      <c r="P310" s="27">
        <v>0.85880000000000001</v>
      </c>
      <c r="Q310" s="54"/>
      <c r="R310" s="52"/>
      <c r="S310" s="1"/>
      <c r="T310" s="1"/>
      <c r="U310" s="1"/>
    </row>
    <row r="311" spans="1:21" x14ac:dyDescent="0.3">
      <c r="A311" s="1"/>
      <c r="B311" s="59" t="s">
        <v>27</v>
      </c>
      <c r="C311" s="60"/>
      <c r="D311" s="31">
        <v>1</v>
      </c>
      <c r="E311" s="31">
        <v>1</v>
      </c>
      <c r="F311" s="31">
        <v>1</v>
      </c>
      <c r="G311" s="31">
        <v>0.98</v>
      </c>
      <c r="H311" s="31">
        <v>0.88</v>
      </c>
      <c r="I311" s="31">
        <v>0.99</v>
      </c>
      <c r="J311" s="31">
        <v>0.9</v>
      </c>
      <c r="K311" s="31">
        <v>0.81</v>
      </c>
      <c r="L311" s="31">
        <v>0.25</v>
      </c>
      <c r="M311" s="31">
        <v>0.72</v>
      </c>
      <c r="N311" s="31">
        <v>0.91</v>
      </c>
      <c r="O311" s="31">
        <v>0</v>
      </c>
      <c r="P311" s="31">
        <v>0.91</v>
      </c>
      <c r="Q311" s="54"/>
      <c r="R311" s="52"/>
      <c r="S311" s="1"/>
      <c r="T311" s="1"/>
      <c r="U311" s="1"/>
    </row>
    <row r="312" spans="1:2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52"/>
      <c r="R312" s="52"/>
      <c r="S312" s="1"/>
      <c r="T312" s="1"/>
      <c r="U312" s="1"/>
    </row>
    <row r="313" spans="1:2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52"/>
      <c r="R313" s="52"/>
      <c r="S313" s="1"/>
      <c r="T313" s="1"/>
      <c r="U313" s="1"/>
    </row>
    <row r="314" spans="1:2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52"/>
      <c r="R314" s="52"/>
      <c r="S314" s="1"/>
      <c r="T314" s="1"/>
      <c r="U314" s="1"/>
    </row>
    <row r="315" spans="1:21" ht="15.6" x14ac:dyDescent="0.3">
      <c r="A315" s="1"/>
      <c r="B315" s="3"/>
      <c r="C315" s="4" t="s">
        <v>172</v>
      </c>
      <c r="D315" s="3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5" t="s">
        <v>2</v>
      </c>
      <c r="Q315" s="54"/>
      <c r="R315" s="52"/>
      <c r="S315" s="1"/>
      <c r="T315" s="1"/>
      <c r="U315" s="1"/>
    </row>
    <row r="316" spans="1:21" ht="15.6" x14ac:dyDescent="0.3">
      <c r="A316" s="1"/>
      <c r="B316" s="3"/>
      <c r="C316" s="6">
        <v>46174</v>
      </c>
      <c r="D316" s="3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7">
        <v>0.95</v>
      </c>
      <c r="Q316" s="54"/>
      <c r="R316" s="52"/>
      <c r="S316" s="1"/>
      <c r="T316" s="1"/>
      <c r="U316" s="1"/>
    </row>
    <row r="317" spans="1:21" ht="42" x14ac:dyDescent="0.3">
      <c r="A317" s="1"/>
      <c r="B317" s="55" t="s">
        <v>3</v>
      </c>
      <c r="C317" s="55" t="s">
        <v>4</v>
      </c>
      <c r="D317" s="8" t="s">
        <v>5</v>
      </c>
      <c r="E317" s="8" t="s">
        <v>6</v>
      </c>
      <c r="F317" s="9" t="s">
        <v>7</v>
      </c>
      <c r="G317" s="9" t="s">
        <v>8</v>
      </c>
      <c r="H317" s="9" t="s">
        <v>9</v>
      </c>
      <c r="I317" s="10" t="s">
        <v>10</v>
      </c>
      <c r="J317" s="10" t="s">
        <v>11</v>
      </c>
      <c r="K317" s="11" t="s">
        <v>12</v>
      </c>
      <c r="L317" s="10" t="s">
        <v>13</v>
      </c>
      <c r="M317" s="11" t="s">
        <v>14</v>
      </c>
      <c r="N317" s="12" t="s">
        <v>15</v>
      </c>
      <c r="O317" s="57" t="s">
        <v>16</v>
      </c>
      <c r="P317" s="57" t="s">
        <v>17</v>
      </c>
      <c r="Q317" s="54"/>
      <c r="R317" s="52"/>
      <c r="S317" s="1"/>
      <c r="T317" s="1"/>
      <c r="U317" s="1"/>
    </row>
    <row r="318" spans="1:21" x14ac:dyDescent="0.3">
      <c r="A318" s="1"/>
      <c r="B318" s="56"/>
      <c r="C318" s="56"/>
      <c r="D318" s="13" t="s">
        <v>18</v>
      </c>
      <c r="E318" s="13" t="s">
        <v>18</v>
      </c>
      <c r="F318" s="13" t="s">
        <v>18</v>
      </c>
      <c r="G318" s="13" t="s">
        <v>18</v>
      </c>
      <c r="H318" s="13" t="s">
        <v>18</v>
      </c>
      <c r="I318" s="13" t="s">
        <v>18</v>
      </c>
      <c r="J318" s="13" t="s">
        <v>18</v>
      </c>
      <c r="K318" s="13" t="s">
        <v>18</v>
      </c>
      <c r="L318" s="13" t="s">
        <v>18</v>
      </c>
      <c r="M318" s="13" t="s">
        <v>18</v>
      </c>
      <c r="N318" s="14" t="s">
        <v>29</v>
      </c>
      <c r="O318" s="58"/>
      <c r="P318" s="58"/>
      <c r="Q318" s="54"/>
      <c r="R318" s="52"/>
      <c r="S318" s="1"/>
      <c r="T318" s="1"/>
      <c r="U318" s="1"/>
    </row>
    <row r="319" spans="1:21" x14ac:dyDescent="0.3">
      <c r="A319" s="1"/>
      <c r="B319" s="59" t="s">
        <v>20</v>
      </c>
      <c r="C319" s="60"/>
      <c r="D319" s="16">
        <v>0.1</v>
      </c>
      <c r="E319" s="16">
        <v>0.05</v>
      </c>
      <c r="F319" s="16">
        <v>0.1</v>
      </c>
      <c r="G319" s="16">
        <v>0.1</v>
      </c>
      <c r="H319" s="16">
        <v>0.05</v>
      </c>
      <c r="I319" s="17">
        <v>0.1</v>
      </c>
      <c r="J319" s="17">
        <v>0.35</v>
      </c>
      <c r="K319" s="17">
        <v>0.08</v>
      </c>
      <c r="L319" s="17">
        <v>0.02</v>
      </c>
      <c r="M319" s="17">
        <v>0.05</v>
      </c>
      <c r="N319" s="19">
        <v>1</v>
      </c>
      <c r="O319" s="20"/>
      <c r="P319" s="22"/>
      <c r="Q319" s="54"/>
      <c r="R319" s="52"/>
      <c r="S319" s="1"/>
      <c r="T319" s="1"/>
      <c r="U319" s="1"/>
    </row>
    <row r="320" spans="1:21" x14ac:dyDescent="0.3">
      <c r="A320" s="1"/>
      <c r="B320" s="23">
        <v>1</v>
      </c>
      <c r="C320" s="37" t="s">
        <v>173</v>
      </c>
      <c r="D320" s="25">
        <v>1</v>
      </c>
      <c r="E320" s="25">
        <v>1</v>
      </c>
      <c r="F320" s="25">
        <v>1</v>
      </c>
      <c r="G320" s="25">
        <v>1</v>
      </c>
      <c r="H320" s="25">
        <v>1</v>
      </c>
      <c r="I320" s="25">
        <v>1</v>
      </c>
      <c r="J320" s="25">
        <v>1</v>
      </c>
      <c r="K320" s="25">
        <v>1</v>
      </c>
      <c r="L320" s="26">
        <v>1</v>
      </c>
      <c r="M320" s="26">
        <v>1</v>
      </c>
      <c r="N320" s="27">
        <v>1</v>
      </c>
      <c r="O320" s="28">
        <v>0</v>
      </c>
      <c r="P320" s="27">
        <v>1</v>
      </c>
      <c r="Q320" s="54"/>
      <c r="R320" s="52"/>
      <c r="S320" s="1"/>
      <c r="T320" s="1"/>
      <c r="U320" s="1"/>
    </row>
    <row r="321" spans="1:21" x14ac:dyDescent="0.3">
      <c r="A321" s="1"/>
      <c r="B321" s="23">
        <v>2</v>
      </c>
      <c r="C321" s="37" t="s">
        <v>174</v>
      </c>
      <c r="D321" s="25">
        <v>0.98</v>
      </c>
      <c r="E321" s="25">
        <v>0.98</v>
      </c>
      <c r="F321" s="25">
        <v>1</v>
      </c>
      <c r="G321" s="25">
        <v>1</v>
      </c>
      <c r="H321" s="25">
        <v>1</v>
      </c>
      <c r="I321" s="25">
        <v>1</v>
      </c>
      <c r="J321" s="25">
        <v>1</v>
      </c>
      <c r="K321" s="25">
        <v>1</v>
      </c>
      <c r="L321" s="26">
        <v>0</v>
      </c>
      <c r="M321" s="26">
        <v>0.5</v>
      </c>
      <c r="N321" s="27">
        <v>0.95199999999999996</v>
      </c>
      <c r="O321" s="28">
        <v>0</v>
      </c>
      <c r="P321" s="27">
        <v>0.95199999999999996</v>
      </c>
      <c r="Q321" s="54"/>
      <c r="R321" s="52"/>
      <c r="S321" s="1"/>
      <c r="T321" s="1"/>
      <c r="U321" s="1"/>
    </row>
    <row r="322" spans="1:21" x14ac:dyDescent="0.3">
      <c r="A322" s="1"/>
      <c r="B322" s="23">
        <v>3</v>
      </c>
      <c r="C322" s="37" t="s">
        <v>175</v>
      </c>
      <c r="D322" s="25">
        <v>0.98</v>
      </c>
      <c r="E322" s="25">
        <v>1</v>
      </c>
      <c r="F322" s="25">
        <v>1</v>
      </c>
      <c r="G322" s="25">
        <v>1</v>
      </c>
      <c r="H322" s="25">
        <v>1</v>
      </c>
      <c r="I322" s="25">
        <v>0.99829999999999997</v>
      </c>
      <c r="J322" s="25">
        <v>1</v>
      </c>
      <c r="K322" s="25">
        <v>0.5</v>
      </c>
      <c r="L322" s="26">
        <v>1</v>
      </c>
      <c r="M322" s="26">
        <v>0.5</v>
      </c>
      <c r="N322" s="27">
        <v>0.93279999999999996</v>
      </c>
      <c r="O322" s="28">
        <v>0</v>
      </c>
      <c r="P322" s="27">
        <v>0.93279999999999996</v>
      </c>
      <c r="Q322" s="54"/>
      <c r="R322" s="52"/>
      <c r="S322" s="1"/>
      <c r="T322" s="1"/>
      <c r="U322" s="1"/>
    </row>
    <row r="323" spans="1:21" x14ac:dyDescent="0.3">
      <c r="A323" s="1"/>
      <c r="B323" s="23">
        <v>4</v>
      </c>
      <c r="C323" s="37" t="s">
        <v>176</v>
      </c>
      <c r="D323" s="25">
        <v>0.98</v>
      </c>
      <c r="E323" s="25">
        <v>0.99</v>
      </c>
      <c r="F323" s="25">
        <v>1</v>
      </c>
      <c r="G323" s="25">
        <v>1</v>
      </c>
      <c r="H323" s="25">
        <v>1</v>
      </c>
      <c r="I323" s="25">
        <v>1</v>
      </c>
      <c r="J323" s="25">
        <v>1</v>
      </c>
      <c r="K323" s="25">
        <v>0.5</v>
      </c>
      <c r="L323" s="26">
        <v>0</v>
      </c>
      <c r="M323" s="26">
        <v>1</v>
      </c>
      <c r="N323" s="27">
        <v>0.9375</v>
      </c>
      <c r="O323" s="28">
        <v>0</v>
      </c>
      <c r="P323" s="27">
        <v>0.9375</v>
      </c>
      <c r="Q323" s="54"/>
      <c r="R323" s="52"/>
      <c r="S323" s="1"/>
      <c r="T323" s="1"/>
      <c r="U323" s="1"/>
    </row>
    <row r="324" spans="1:21" x14ac:dyDescent="0.3">
      <c r="A324" s="1"/>
      <c r="B324" s="23">
        <v>5</v>
      </c>
      <c r="C324" s="37" t="s">
        <v>177</v>
      </c>
      <c r="D324" s="25">
        <v>1</v>
      </c>
      <c r="E324" s="25">
        <v>1</v>
      </c>
      <c r="F324" s="25">
        <v>1</v>
      </c>
      <c r="G324" s="25">
        <v>1</v>
      </c>
      <c r="H324" s="25">
        <v>1</v>
      </c>
      <c r="I324" s="25">
        <v>1</v>
      </c>
      <c r="J324" s="25">
        <v>1</v>
      </c>
      <c r="K324" s="25">
        <v>1</v>
      </c>
      <c r="L324" s="26">
        <v>0</v>
      </c>
      <c r="M324" s="26">
        <v>0</v>
      </c>
      <c r="N324" s="27">
        <v>0.93</v>
      </c>
      <c r="O324" s="28">
        <v>0</v>
      </c>
      <c r="P324" s="27">
        <v>0.93</v>
      </c>
      <c r="Q324" s="54"/>
      <c r="R324" s="52"/>
      <c r="S324" s="1"/>
      <c r="T324" s="1"/>
      <c r="U324" s="1"/>
    </row>
    <row r="325" spans="1:21" x14ac:dyDescent="0.3">
      <c r="A325" s="1"/>
      <c r="B325" s="59" t="s">
        <v>27</v>
      </c>
      <c r="C325" s="60"/>
      <c r="D325" s="31">
        <v>0.99</v>
      </c>
      <c r="E325" s="31">
        <v>0.99</v>
      </c>
      <c r="F325" s="31">
        <v>1</v>
      </c>
      <c r="G325" s="31">
        <v>1</v>
      </c>
      <c r="H325" s="31">
        <v>1</v>
      </c>
      <c r="I325" s="31">
        <v>1</v>
      </c>
      <c r="J325" s="31">
        <v>1</v>
      </c>
      <c r="K325" s="31">
        <v>0.8</v>
      </c>
      <c r="L325" s="31">
        <v>0.4</v>
      </c>
      <c r="M325" s="31">
        <v>0.6</v>
      </c>
      <c r="N325" s="31">
        <v>0.95</v>
      </c>
      <c r="O325" s="31">
        <v>0</v>
      </c>
      <c r="P325" s="31">
        <v>0.95</v>
      </c>
      <c r="Q325" s="54"/>
      <c r="R325" s="52"/>
      <c r="S325" s="1"/>
      <c r="T325" s="1"/>
      <c r="U325" s="1"/>
    </row>
    <row r="326" spans="1:2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52"/>
      <c r="R326" s="52"/>
      <c r="S326" s="1"/>
      <c r="T326" s="1"/>
      <c r="U326" s="1"/>
    </row>
    <row r="327" spans="1:2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52"/>
      <c r="R327" s="52"/>
      <c r="S327" s="1"/>
      <c r="T327" s="1"/>
      <c r="U327" s="1"/>
    </row>
    <row r="328" spans="1:2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52"/>
      <c r="R328" s="52"/>
      <c r="S328" s="1"/>
      <c r="T328" s="1"/>
      <c r="U328" s="1"/>
    </row>
    <row r="329" spans="1:21" ht="15.6" x14ac:dyDescent="0.3">
      <c r="A329" s="1"/>
      <c r="B329" s="3"/>
      <c r="C329" s="4" t="s">
        <v>178</v>
      </c>
      <c r="D329" s="3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5" t="s">
        <v>2</v>
      </c>
      <c r="Q329" s="54"/>
      <c r="R329" s="52"/>
      <c r="S329" s="1"/>
      <c r="T329" s="1"/>
      <c r="U329" s="1"/>
    </row>
    <row r="330" spans="1:21" ht="15.6" x14ac:dyDescent="0.3">
      <c r="A330" s="1"/>
      <c r="B330" s="3"/>
      <c r="C330" s="6">
        <v>46174</v>
      </c>
      <c r="D330" s="3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7">
        <v>0.93</v>
      </c>
      <c r="Q330" s="54"/>
      <c r="R330" s="52"/>
      <c r="S330" s="1"/>
      <c r="T330" s="1"/>
      <c r="U330" s="1"/>
    </row>
    <row r="331" spans="1:21" ht="42" x14ac:dyDescent="0.3">
      <c r="A331" s="1"/>
      <c r="B331" s="55" t="s">
        <v>3</v>
      </c>
      <c r="C331" s="55" t="s">
        <v>4</v>
      </c>
      <c r="D331" s="8" t="s">
        <v>5</v>
      </c>
      <c r="E331" s="8" t="s">
        <v>6</v>
      </c>
      <c r="F331" s="9" t="s">
        <v>7</v>
      </c>
      <c r="G331" s="9" t="s">
        <v>8</v>
      </c>
      <c r="H331" s="9" t="s">
        <v>9</v>
      </c>
      <c r="I331" s="10" t="s">
        <v>10</v>
      </c>
      <c r="J331" s="10" t="s">
        <v>11</v>
      </c>
      <c r="K331" s="11" t="s">
        <v>12</v>
      </c>
      <c r="L331" s="10" t="s">
        <v>13</v>
      </c>
      <c r="M331" s="11" t="s">
        <v>14</v>
      </c>
      <c r="N331" s="12" t="s">
        <v>15</v>
      </c>
      <c r="O331" s="57" t="s">
        <v>16</v>
      </c>
      <c r="P331" s="57" t="s">
        <v>17</v>
      </c>
      <c r="Q331" s="54"/>
      <c r="R331" s="52"/>
      <c r="S331" s="1"/>
      <c r="T331" s="1"/>
      <c r="U331" s="1"/>
    </row>
    <row r="332" spans="1:21" x14ac:dyDescent="0.3">
      <c r="A332" s="1"/>
      <c r="B332" s="56"/>
      <c r="C332" s="56"/>
      <c r="D332" s="13" t="s">
        <v>18</v>
      </c>
      <c r="E332" s="13" t="s">
        <v>18</v>
      </c>
      <c r="F332" s="13" t="s">
        <v>18</v>
      </c>
      <c r="G332" s="13" t="s">
        <v>18</v>
      </c>
      <c r="H332" s="13" t="s">
        <v>18</v>
      </c>
      <c r="I332" s="13" t="s">
        <v>18</v>
      </c>
      <c r="J332" s="13" t="s">
        <v>18</v>
      </c>
      <c r="K332" s="13" t="s">
        <v>18</v>
      </c>
      <c r="L332" s="13" t="s">
        <v>18</v>
      </c>
      <c r="M332" s="13" t="s">
        <v>18</v>
      </c>
      <c r="N332" s="14" t="s">
        <v>29</v>
      </c>
      <c r="O332" s="58"/>
      <c r="P332" s="58"/>
      <c r="Q332" s="54"/>
      <c r="R332" s="52"/>
      <c r="S332" s="1"/>
      <c r="T332" s="1"/>
      <c r="U332" s="1"/>
    </row>
    <row r="333" spans="1:21" x14ac:dyDescent="0.3">
      <c r="A333" s="1"/>
      <c r="B333" s="59" t="s">
        <v>20</v>
      </c>
      <c r="C333" s="60"/>
      <c r="D333" s="16">
        <v>0.1</v>
      </c>
      <c r="E333" s="16">
        <v>0.05</v>
      </c>
      <c r="F333" s="16">
        <v>0.1</v>
      </c>
      <c r="G333" s="16">
        <v>0.1</v>
      </c>
      <c r="H333" s="16">
        <v>0.05</v>
      </c>
      <c r="I333" s="17">
        <v>0.1</v>
      </c>
      <c r="J333" s="17">
        <v>0.35</v>
      </c>
      <c r="K333" s="17">
        <v>0.08</v>
      </c>
      <c r="L333" s="17">
        <v>0.02</v>
      </c>
      <c r="M333" s="17">
        <v>0.05</v>
      </c>
      <c r="N333" s="19">
        <v>1</v>
      </c>
      <c r="O333" s="20"/>
      <c r="P333" s="22"/>
      <c r="Q333" s="54"/>
      <c r="R333" s="52"/>
      <c r="S333" s="1"/>
      <c r="T333" s="1"/>
      <c r="U333" s="1"/>
    </row>
    <row r="334" spans="1:21" x14ac:dyDescent="0.3">
      <c r="A334" s="1"/>
      <c r="B334" s="23">
        <v>1</v>
      </c>
      <c r="C334" s="37" t="s">
        <v>179</v>
      </c>
      <c r="D334" s="25">
        <v>1</v>
      </c>
      <c r="E334" s="25">
        <v>1</v>
      </c>
      <c r="F334" s="25">
        <v>1</v>
      </c>
      <c r="G334" s="25">
        <v>0.94940000000000002</v>
      </c>
      <c r="H334" s="25">
        <v>1</v>
      </c>
      <c r="I334" s="25">
        <v>0.99590000000000001</v>
      </c>
      <c r="J334" s="25">
        <v>1</v>
      </c>
      <c r="K334" s="25">
        <v>0.5</v>
      </c>
      <c r="L334" s="26">
        <v>0</v>
      </c>
      <c r="M334" s="26">
        <v>1</v>
      </c>
      <c r="N334" s="27">
        <v>0.9345</v>
      </c>
      <c r="O334" s="28">
        <v>0</v>
      </c>
      <c r="P334" s="27">
        <v>0.9345</v>
      </c>
      <c r="Q334" s="54"/>
      <c r="R334" s="52"/>
      <c r="S334" s="1"/>
      <c r="T334" s="1"/>
      <c r="U334" s="1"/>
    </row>
    <row r="335" spans="1:21" x14ac:dyDescent="0.3">
      <c r="A335" s="1"/>
      <c r="B335" s="23">
        <v>2</v>
      </c>
      <c r="C335" s="37" t="s">
        <v>180</v>
      </c>
      <c r="D335" s="25">
        <v>1</v>
      </c>
      <c r="E335" s="25">
        <v>1</v>
      </c>
      <c r="F335" s="25">
        <v>1</v>
      </c>
      <c r="G335" s="25">
        <v>1</v>
      </c>
      <c r="H335" s="25">
        <v>1</v>
      </c>
      <c r="I335" s="25">
        <v>1</v>
      </c>
      <c r="J335" s="25">
        <v>1</v>
      </c>
      <c r="K335" s="25">
        <v>0.5</v>
      </c>
      <c r="L335" s="26">
        <v>0</v>
      </c>
      <c r="M335" s="26">
        <v>1</v>
      </c>
      <c r="N335" s="27">
        <v>0.94</v>
      </c>
      <c r="O335" s="28">
        <v>0</v>
      </c>
      <c r="P335" s="27">
        <v>0.94</v>
      </c>
      <c r="Q335" s="54"/>
      <c r="R335" s="52"/>
      <c r="S335" s="1"/>
      <c r="T335" s="1"/>
      <c r="U335" s="1"/>
    </row>
    <row r="336" spans="1:21" x14ac:dyDescent="0.3">
      <c r="A336" s="1"/>
      <c r="B336" s="23">
        <v>3</v>
      </c>
      <c r="C336" s="37" t="s">
        <v>181</v>
      </c>
      <c r="D336" s="25">
        <v>1</v>
      </c>
      <c r="E336" s="25">
        <v>1</v>
      </c>
      <c r="F336" s="25">
        <v>1</v>
      </c>
      <c r="G336" s="25">
        <v>0.9506</v>
      </c>
      <c r="H336" s="25">
        <v>1</v>
      </c>
      <c r="I336" s="25">
        <v>0.99790000000000001</v>
      </c>
      <c r="J336" s="25">
        <v>0.8</v>
      </c>
      <c r="K336" s="25">
        <v>1</v>
      </c>
      <c r="L336" s="26">
        <v>0</v>
      </c>
      <c r="M336" s="26">
        <v>1</v>
      </c>
      <c r="N336" s="27">
        <v>0.90490000000000004</v>
      </c>
      <c r="O336" s="28">
        <v>0</v>
      </c>
      <c r="P336" s="27">
        <v>0.90490000000000004</v>
      </c>
      <c r="Q336" s="54"/>
      <c r="R336" s="52"/>
      <c r="S336" s="1"/>
      <c r="T336" s="1"/>
      <c r="U336" s="1"/>
    </row>
    <row r="337" spans="1:21" x14ac:dyDescent="0.3">
      <c r="A337" s="1"/>
      <c r="B337" s="23">
        <v>4</v>
      </c>
      <c r="C337" s="37" t="s">
        <v>182</v>
      </c>
      <c r="D337" s="25">
        <v>0.98</v>
      </c>
      <c r="E337" s="25">
        <v>1</v>
      </c>
      <c r="F337" s="25">
        <v>1</v>
      </c>
      <c r="G337" s="25">
        <v>1</v>
      </c>
      <c r="H337" s="25">
        <v>1</v>
      </c>
      <c r="I337" s="25">
        <v>0.99829999999999997</v>
      </c>
      <c r="J337" s="25">
        <v>1</v>
      </c>
      <c r="K337" s="25">
        <v>1</v>
      </c>
      <c r="L337" s="26">
        <v>0</v>
      </c>
      <c r="M337" s="26">
        <v>0.5</v>
      </c>
      <c r="N337" s="27">
        <v>0.95279999999999998</v>
      </c>
      <c r="O337" s="28">
        <v>0</v>
      </c>
      <c r="P337" s="27">
        <v>0.95279999999999998</v>
      </c>
      <c r="Q337" s="54"/>
      <c r="R337" s="52"/>
      <c r="S337" s="1"/>
      <c r="T337" s="1"/>
      <c r="U337" s="1"/>
    </row>
    <row r="338" spans="1:21" x14ac:dyDescent="0.3">
      <c r="A338" s="1"/>
      <c r="B338" s="23">
        <v>5</v>
      </c>
      <c r="C338" s="37" t="s">
        <v>183</v>
      </c>
      <c r="D338" s="25">
        <v>1</v>
      </c>
      <c r="E338" s="25">
        <v>0.98</v>
      </c>
      <c r="F338" s="25">
        <v>1</v>
      </c>
      <c r="G338" s="25">
        <v>0.96419999999999995</v>
      </c>
      <c r="H338" s="25">
        <v>1</v>
      </c>
      <c r="I338" s="25">
        <v>1</v>
      </c>
      <c r="J338" s="25">
        <v>1</v>
      </c>
      <c r="K338" s="25">
        <v>0.5</v>
      </c>
      <c r="L338" s="26">
        <v>0</v>
      </c>
      <c r="M338" s="26">
        <v>1</v>
      </c>
      <c r="N338" s="27">
        <v>0.93540000000000001</v>
      </c>
      <c r="O338" s="28">
        <v>0</v>
      </c>
      <c r="P338" s="27">
        <v>0.93540000000000001</v>
      </c>
      <c r="Q338" s="54"/>
      <c r="R338" s="52"/>
      <c r="S338" s="1"/>
      <c r="T338" s="1"/>
      <c r="U338" s="1"/>
    </row>
    <row r="339" spans="1:21" x14ac:dyDescent="0.3">
      <c r="A339" s="1"/>
      <c r="B339" s="59" t="s">
        <v>27</v>
      </c>
      <c r="C339" s="60"/>
      <c r="D339" s="31">
        <v>1</v>
      </c>
      <c r="E339" s="31">
        <v>1</v>
      </c>
      <c r="F339" s="31">
        <v>1</v>
      </c>
      <c r="G339" s="31">
        <v>0.97</v>
      </c>
      <c r="H339" s="31">
        <v>1</v>
      </c>
      <c r="I339" s="31">
        <v>1</v>
      </c>
      <c r="J339" s="31">
        <v>0.96</v>
      </c>
      <c r="K339" s="31">
        <v>0.7</v>
      </c>
      <c r="L339" s="31">
        <v>0</v>
      </c>
      <c r="M339" s="31">
        <v>0.9</v>
      </c>
      <c r="N339" s="31">
        <v>0.93</v>
      </c>
      <c r="O339" s="31">
        <v>0</v>
      </c>
      <c r="P339" s="31">
        <v>0.93</v>
      </c>
      <c r="Q339" s="54"/>
      <c r="R339" s="52"/>
      <c r="S339" s="1"/>
      <c r="T339" s="1"/>
      <c r="U339" s="1"/>
    </row>
    <row r="340" spans="1:2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52"/>
      <c r="R340" s="52"/>
      <c r="S340" s="1"/>
      <c r="T340" s="1"/>
      <c r="U340" s="1"/>
    </row>
    <row r="341" spans="1:2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52"/>
      <c r="R341" s="52"/>
      <c r="S341" s="1"/>
      <c r="T341" s="1"/>
      <c r="U341" s="1"/>
    </row>
    <row r="342" spans="1:2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52"/>
      <c r="R342" s="52"/>
      <c r="S342" s="1"/>
      <c r="T342" s="1"/>
      <c r="U342" s="1"/>
    </row>
    <row r="343" spans="1:21" ht="15.6" x14ac:dyDescent="0.3">
      <c r="A343" s="1"/>
      <c r="B343" s="3"/>
      <c r="C343" s="4" t="s">
        <v>184</v>
      </c>
      <c r="D343" s="3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5" t="s">
        <v>2</v>
      </c>
      <c r="Q343" s="54"/>
      <c r="R343" s="52"/>
      <c r="S343" s="1"/>
      <c r="T343" s="1"/>
      <c r="U343" s="1"/>
    </row>
    <row r="344" spans="1:21" ht="15.6" x14ac:dyDescent="0.3">
      <c r="A344" s="1"/>
      <c r="B344" s="3"/>
      <c r="C344" s="6">
        <v>46174</v>
      </c>
      <c r="D344" s="3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7">
        <v>0.93</v>
      </c>
      <c r="Q344" s="54"/>
      <c r="R344" s="52"/>
      <c r="S344" s="1"/>
      <c r="T344" s="1"/>
      <c r="U344" s="1"/>
    </row>
    <row r="345" spans="1:21" ht="42" x14ac:dyDescent="0.3">
      <c r="A345" s="1"/>
      <c r="B345" s="55" t="s">
        <v>3</v>
      </c>
      <c r="C345" s="55" t="s">
        <v>4</v>
      </c>
      <c r="D345" s="8" t="s">
        <v>5</v>
      </c>
      <c r="E345" s="8" t="s">
        <v>6</v>
      </c>
      <c r="F345" s="9" t="s">
        <v>7</v>
      </c>
      <c r="G345" s="9" t="s">
        <v>8</v>
      </c>
      <c r="H345" s="9" t="s">
        <v>9</v>
      </c>
      <c r="I345" s="10" t="s">
        <v>10</v>
      </c>
      <c r="J345" s="10" t="s">
        <v>11</v>
      </c>
      <c r="K345" s="11" t="s">
        <v>12</v>
      </c>
      <c r="L345" s="10" t="s">
        <v>13</v>
      </c>
      <c r="M345" s="11" t="s">
        <v>14</v>
      </c>
      <c r="N345" s="12" t="s">
        <v>15</v>
      </c>
      <c r="O345" s="57" t="s">
        <v>16</v>
      </c>
      <c r="P345" s="57" t="s">
        <v>17</v>
      </c>
      <c r="Q345" s="54"/>
      <c r="R345" s="52"/>
      <c r="S345" s="1"/>
      <c r="T345" s="1"/>
      <c r="U345" s="1"/>
    </row>
    <row r="346" spans="1:21" x14ac:dyDescent="0.3">
      <c r="A346" s="1"/>
      <c r="B346" s="56"/>
      <c r="C346" s="56"/>
      <c r="D346" s="13" t="s">
        <v>18</v>
      </c>
      <c r="E346" s="13" t="s">
        <v>18</v>
      </c>
      <c r="F346" s="13" t="s">
        <v>18</v>
      </c>
      <c r="G346" s="13" t="s">
        <v>18</v>
      </c>
      <c r="H346" s="13" t="s">
        <v>18</v>
      </c>
      <c r="I346" s="13" t="s">
        <v>18</v>
      </c>
      <c r="J346" s="13" t="s">
        <v>18</v>
      </c>
      <c r="K346" s="13" t="s">
        <v>18</v>
      </c>
      <c r="L346" s="13" t="s">
        <v>18</v>
      </c>
      <c r="M346" s="13" t="s">
        <v>18</v>
      </c>
      <c r="N346" s="14" t="s">
        <v>29</v>
      </c>
      <c r="O346" s="58"/>
      <c r="P346" s="58"/>
      <c r="Q346" s="54"/>
      <c r="R346" s="52"/>
      <c r="S346" s="1"/>
      <c r="T346" s="1"/>
      <c r="U346" s="1"/>
    </row>
    <row r="347" spans="1:21" x14ac:dyDescent="0.3">
      <c r="A347" s="1"/>
      <c r="B347" s="59" t="s">
        <v>20</v>
      </c>
      <c r="C347" s="60"/>
      <c r="D347" s="16">
        <v>0.1</v>
      </c>
      <c r="E347" s="16">
        <v>0.05</v>
      </c>
      <c r="F347" s="16">
        <v>0.1</v>
      </c>
      <c r="G347" s="16">
        <v>0.1</v>
      </c>
      <c r="H347" s="16">
        <v>0.05</v>
      </c>
      <c r="I347" s="17">
        <v>0.1</v>
      </c>
      <c r="J347" s="17">
        <v>0.35</v>
      </c>
      <c r="K347" s="17">
        <v>0.08</v>
      </c>
      <c r="L347" s="17">
        <v>0.02</v>
      </c>
      <c r="M347" s="17">
        <v>0.05</v>
      </c>
      <c r="N347" s="19">
        <v>1</v>
      </c>
      <c r="O347" s="20"/>
      <c r="P347" s="22"/>
      <c r="Q347" s="54"/>
      <c r="R347" s="52"/>
      <c r="S347" s="1"/>
      <c r="T347" s="1"/>
      <c r="U347" s="1"/>
    </row>
    <row r="348" spans="1:21" x14ac:dyDescent="0.3">
      <c r="A348" s="1"/>
      <c r="B348" s="23">
        <v>1</v>
      </c>
      <c r="C348" s="37" t="s">
        <v>185</v>
      </c>
      <c r="D348" s="25">
        <v>1</v>
      </c>
      <c r="E348" s="25">
        <v>1</v>
      </c>
      <c r="F348" s="25">
        <v>0.98480000000000001</v>
      </c>
      <c r="G348" s="25">
        <v>1</v>
      </c>
      <c r="H348" s="25">
        <v>1</v>
      </c>
      <c r="I348" s="25">
        <v>0.99399999999999999</v>
      </c>
      <c r="J348" s="25">
        <v>0.8</v>
      </c>
      <c r="K348" s="25">
        <v>0.5</v>
      </c>
      <c r="L348" s="26">
        <v>1</v>
      </c>
      <c r="M348" s="26">
        <v>0.75</v>
      </c>
      <c r="N348" s="27">
        <v>0.87539999999999996</v>
      </c>
      <c r="O348" s="28">
        <v>0</v>
      </c>
      <c r="P348" s="27">
        <v>0.87539999999999996</v>
      </c>
      <c r="Q348" s="54"/>
      <c r="R348" s="52"/>
      <c r="S348" s="1"/>
      <c r="T348" s="1"/>
      <c r="U348" s="1"/>
    </row>
    <row r="349" spans="1:21" x14ac:dyDescent="0.3">
      <c r="A349" s="1"/>
      <c r="B349" s="23">
        <v>2</v>
      </c>
      <c r="C349" s="37" t="s">
        <v>186</v>
      </c>
      <c r="D349" s="25">
        <v>0.96</v>
      </c>
      <c r="E349" s="25">
        <v>1</v>
      </c>
      <c r="F349" s="25">
        <v>1</v>
      </c>
      <c r="G349" s="25">
        <v>1</v>
      </c>
      <c r="H349" s="25">
        <v>1</v>
      </c>
      <c r="I349" s="25">
        <v>1</v>
      </c>
      <c r="J349" s="25">
        <v>0.8</v>
      </c>
      <c r="K349" s="25">
        <v>1</v>
      </c>
      <c r="L349" s="26">
        <v>0</v>
      </c>
      <c r="M349" s="26">
        <v>0.5</v>
      </c>
      <c r="N349" s="27">
        <v>0.88100000000000001</v>
      </c>
      <c r="O349" s="28">
        <v>0</v>
      </c>
      <c r="P349" s="27">
        <v>0.88100000000000001</v>
      </c>
      <c r="Q349" s="54"/>
      <c r="R349" s="52"/>
      <c r="S349" s="1"/>
      <c r="T349" s="1"/>
      <c r="U349" s="1"/>
    </row>
    <row r="350" spans="1:21" x14ac:dyDescent="0.3">
      <c r="A350" s="1"/>
      <c r="B350" s="23">
        <v>3</v>
      </c>
      <c r="C350" s="37" t="s">
        <v>187</v>
      </c>
      <c r="D350" s="25">
        <v>1</v>
      </c>
      <c r="E350" s="25">
        <v>1</v>
      </c>
      <c r="F350" s="25">
        <v>1</v>
      </c>
      <c r="G350" s="25">
        <v>1</v>
      </c>
      <c r="H350" s="25">
        <v>1</v>
      </c>
      <c r="I350" s="25">
        <v>0.99639999999999995</v>
      </c>
      <c r="J350" s="25">
        <v>1</v>
      </c>
      <c r="K350" s="25">
        <v>1</v>
      </c>
      <c r="L350" s="26">
        <v>0</v>
      </c>
      <c r="M350" s="26">
        <v>1</v>
      </c>
      <c r="N350" s="27">
        <v>0.97960000000000003</v>
      </c>
      <c r="O350" s="28">
        <v>0</v>
      </c>
      <c r="P350" s="27">
        <v>0.97960000000000003</v>
      </c>
      <c r="Q350" s="54"/>
      <c r="R350" s="52"/>
      <c r="S350" s="1"/>
      <c r="T350" s="1"/>
      <c r="U350" s="1"/>
    </row>
    <row r="351" spans="1:21" x14ac:dyDescent="0.3">
      <c r="A351" s="1"/>
      <c r="B351" s="23">
        <v>4</v>
      </c>
      <c r="C351" s="37" t="s">
        <v>188</v>
      </c>
      <c r="D351" s="25">
        <v>1</v>
      </c>
      <c r="E351" s="25">
        <v>1</v>
      </c>
      <c r="F351" s="25">
        <v>1</v>
      </c>
      <c r="G351" s="25">
        <v>1</v>
      </c>
      <c r="H351" s="25">
        <v>1</v>
      </c>
      <c r="I351" s="25">
        <v>0.99790000000000001</v>
      </c>
      <c r="J351" s="25">
        <v>1</v>
      </c>
      <c r="K351" s="25">
        <v>0.5</v>
      </c>
      <c r="L351" s="26">
        <v>1</v>
      </c>
      <c r="M351" s="26">
        <v>0.5</v>
      </c>
      <c r="N351" s="27">
        <v>0.93479999999999996</v>
      </c>
      <c r="O351" s="28">
        <v>0</v>
      </c>
      <c r="P351" s="27">
        <v>0.93479999999999996</v>
      </c>
      <c r="Q351" s="54"/>
      <c r="R351" s="52"/>
      <c r="S351" s="1"/>
      <c r="T351" s="1"/>
      <c r="U351" s="1"/>
    </row>
    <row r="352" spans="1:21" x14ac:dyDescent="0.3">
      <c r="A352" s="1"/>
      <c r="B352" s="23">
        <v>5</v>
      </c>
      <c r="C352" s="37" t="s">
        <v>189</v>
      </c>
      <c r="D352" s="25">
        <v>1</v>
      </c>
      <c r="E352" s="25">
        <v>1</v>
      </c>
      <c r="F352" s="25">
        <v>1</v>
      </c>
      <c r="G352" s="25">
        <v>1</v>
      </c>
      <c r="H352" s="25">
        <v>1</v>
      </c>
      <c r="I352" s="25">
        <v>1</v>
      </c>
      <c r="J352" s="25">
        <v>1</v>
      </c>
      <c r="K352" s="25">
        <v>1</v>
      </c>
      <c r="L352" s="26">
        <v>0</v>
      </c>
      <c r="M352" s="26">
        <v>1</v>
      </c>
      <c r="N352" s="27">
        <v>0.98</v>
      </c>
      <c r="O352" s="28">
        <v>0</v>
      </c>
      <c r="P352" s="27">
        <v>0.98</v>
      </c>
      <c r="Q352" s="54"/>
      <c r="R352" s="52"/>
      <c r="S352" s="1"/>
      <c r="T352" s="1"/>
      <c r="U352" s="1"/>
    </row>
    <row r="353" spans="1:21" x14ac:dyDescent="0.3">
      <c r="A353" s="1"/>
      <c r="B353" s="23">
        <v>6</v>
      </c>
      <c r="C353" s="37" t="s">
        <v>190</v>
      </c>
      <c r="D353" s="25">
        <v>1</v>
      </c>
      <c r="E353" s="25">
        <v>1</v>
      </c>
      <c r="F353" s="25">
        <v>1</v>
      </c>
      <c r="G353" s="25">
        <v>1</v>
      </c>
      <c r="H353" s="25">
        <v>1</v>
      </c>
      <c r="I353" s="25">
        <v>1</v>
      </c>
      <c r="J353" s="25">
        <v>1</v>
      </c>
      <c r="K353" s="25">
        <v>0.5</v>
      </c>
      <c r="L353" s="26">
        <v>0</v>
      </c>
      <c r="M353" s="26">
        <v>0.75</v>
      </c>
      <c r="N353" s="27">
        <v>0.92749999999999999</v>
      </c>
      <c r="O353" s="28">
        <v>0</v>
      </c>
      <c r="P353" s="27">
        <v>0.92749999999999999</v>
      </c>
      <c r="Q353" s="54"/>
      <c r="R353" s="52"/>
      <c r="S353" s="1"/>
      <c r="T353" s="1"/>
      <c r="U353" s="1"/>
    </row>
    <row r="354" spans="1:21" x14ac:dyDescent="0.3">
      <c r="A354" s="1"/>
      <c r="B354" s="59" t="s">
        <v>27</v>
      </c>
      <c r="C354" s="60"/>
      <c r="D354" s="31">
        <v>0.99</v>
      </c>
      <c r="E354" s="31">
        <v>1</v>
      </c>
      <c r="F354" s="31">
        <v>1</v>
      </c>
      <c r="G354" s="31">
        <v>1</v>
      </c>
      <c r="H354" s="31">
        <v>1</v>
      </c>
      <c r="I354" s="31">
        <v>1</v>
      </c>
      <c r="J354" s="31">
        <v>0.93</v>
      </c>
      <c r="K354" s="31">
        <v>0.75</v>
      </c>
      <c r="L354" s="31">
        <v>0.33</v>
      </c>
      <c r="M354" s="31">
        <v>0.75</v>
      </c>
      <c r="N354" s="31">
        <v>0.93</v>
      </c>
      <c r="O354" s="31">
        <v>0</v>
      </c>
      <c r="P354" s="31">
        <v>0.93</v>
      </c>
      <c r="Q354" s="54"/>
      <c r="R354" s="52"/>
      <c r="S354" s="1"/>
      <c r="T354" s="1"/>
      <c r="U354" s="1"/>
    </row>
    <row r="355" spans="1:2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52"/>
      <c r="R355" s="52"/>
      <c r="S355" s="1"/>
      <c r="T355" s="1"/>
      <c r="U355" s="1"/>
    </row>
    <row r="356" spans="1:2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52"/>
      <c r="R356" s="52"/>
      <c r="S356" s="1"/>
      <c r="T356" s="1"/>
      <c r="U356" s="1"/>
    </row>
    <row r="357" spans="1:2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52"/>
      <c r="R357" s="52"/>
      <c r="S357" s="1"/>
      <c r="T357" s="1"/>
      <c r="U357" s="1"/>
    </row>
    <row r="358" spans="1:21" ht="15.6" x14ac:dyDescent="0.3">
      <c r="A358" s="1"/>
      <c r="B358" s="3"/>
      <c r="C358" s="4" t="s">
        <v>191</v>
      </c>
      <c r="D358" s="3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5" t="s">
        <v>2</v>
      </c>
      <c r="Q358" s="54"/>
      <c r="R358" s="52"/>
      <c r="S358" s="1"/>
      <c r="T358" s="1"/>
      <c r="U358" s="1"/>
    </row>
    <row r="359" spans="1:21" ht="15.6" x14ac:dyDescent="0.3">
      <c r="A359" s="1"/>
      <c r="B359" s="3"/>
      <c r="C359" s="6">
        <v>46174</v>
      </c>
      <c r="D359" s="3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7">
        <v>0.9</v>
      </c>
      <c r="Q359" s="54"/>
      <c r="R359" s="52"/>
      <c r="S359" s="1"/>
      <c r="T359" s="1"/>
      <c r="U359" s="1"/>
    </row>
    <row r="360" spans="1:21" ht="42" x14ac:dyDescent="0.3">
      <c r="A360" s="1"/>
      <c r="B360" s="55" t="s">
        <v>3</v>
      </c>
      <c r="C360" s="55" t="s">
        <v>4</v>
      </c>
      <c r="D360" s="8" t="s">
        <v>5</v>
      </c>
      <c r="E360" s="8" t="s">
        <v>6</v>
      </c>
      <c r="F360" s="9" t="s">
        <v>7</v>
      </c>
      <c r="G360" s="9" t="s">
        <v>8</v>
      </c>
      <c r="H360" s="9" t="s">
        <v>9</v>
      </c>
      <c r="I360" s="10" t="s">
        <v>10</v>
      </c>
      <c r="J360" s="10" t="s">
        <v>11</v>
      </c>
      <c r="K360" s="11" t="s">
        <v>12</v>
      </c>
      <c r="L360" s="10" t="s">
        <v>13</v>
      </c>
      <c r="M360" s="11" t="s">
        <v>14</v>
      </c>
      <c r="N360" s="12" t="s">
        <v>15</v>
      </c>
      <c r="O360" s="57" t="s">
        <v>16</v>
      </c>
      <c r="P360" s="57" t="s">
        <v>17</v>
      </c>
      <c r="Q360" s="54"/>
      <c r="R360" s="52"/>
      <c r="S360" s="1"/>
      <c r="T360" s="1"/>
      <c r="U360" s="1"/>
    </row>
    <row r="361" spans="1:21" x14ac:dyDescent="0.3">
      <c r="A361" s="1"/>
      <c r="B361" s="56"/>
      <c r="C361" s="56"/>
      <c r="D361" s="13" t="s">
        <v>18</v>
      </c>
      <c r="E361" s="13" t="s">
        <v>18</v>
      </c>
      <c r="F361" s="13" t="s">
        <v>18</v>
      </c>
      <c r="G361" s="13" t="s">
        <v>18</v>
      </c>
      <c r="H361" s="13" t="s">
        <v>18</v>
      </c>
      <c r="I361" s="13" t="s">
        <v>18</v>
      </c>
      <c r="J361" s="13" t="s">
        <v>18</v>
      </c>
      <c r="K361" s="13" t="s">
        <v>18</v>
      </c>
      <c r="L361" s="13" t="s">
        <v>18</v>
      </c>
      <c r="M361" s="13" t="s">
        <v>18</v>
      </c>
      <c r="N361" s="14" t="s">
        <v>29</v>
      </c>
      <c r="O361" s="58"/>
      <c r="P361" s="58"/>
      <c r="Q361" s="54"/>
      <c r="R361" s="52"/>
      <c r="S361" s="1"/>
      <c r="T361" s="1"/>
      <c r="U361" s="1"/>
    </row>
    <row r="362" spans="1:21" x14ac:dyDescent="0.3">
      <c r="A362" s="1"/>
      <c r="B362" s="59" t="s">
        <v>20</v>
      </c>
      <c r="C362" s="60"/>
      <c r="D362" s="16">
        <v>0.1</v>
      </c>
      <c r="E362" s="16">
        <v>0.05</v>
      </c>
      <c r="F362" s="16">
        <v>0.1</v>
      </c>
      <c r="G362" s="16">
        <v>0.1</v>
      </c>
      <c r="H362" s="16">
        <v>0.05</v>
      </c>
      <c r="I362" s="17">
        <v>0.1</v>
      </c>
      <c r="J362" s="17">
        <v>0.35</v>
      </c>
      <c r="K362" s="17">
        <v>0.08</v>
      </c>
      <c r="L362" s="17">
        <v>0.02</v>
      </c>
      <c r="M362" s="17">
        <v>0.05</v>
      </c>
      <c r="N362" s="19">
        <v>1</v>
      </c>
      <c r="O362" s="20"/>
      <c r="P362" s="22"/>
      <c r="Q362" s="54"/>
      <c r="R362" s="52"/>
      <c r="S362" s="1"/>
      <c r="T362" s="1"/>
      <c r="U362" s="1"/>
    </row>
    <row r="363" spans="1:21" x14ac:dyDescent="0.3">
      <c r="A363" s="1"/>
      <c r="B363" s="23">
        <v>1</v>
      </c>
      <c r="C363" s="37" t="s">
        <v>192</v>
      </c>
      <c r="D363" s="25">
        <v>1</v>
      </c>
      <c r="E363" s="25">
        <v>1</v>
      </c>
      <c r="F363" s="25">
        <v>1</v>
      </c>
      <c r="G363" s="25">
        <v>1</v>
      </c>
      <c r="H363" s="25">
        <v>1</v>
      </c>
      <c r="I363" s="25">
        <v>1</v>
      </c>
      <c r="J363" s="25">
        <v>1</v>
      </c>
      <c r="K363" s="25">
        <v>0.5</v>
      </c>
      <c r="L363" s="26">
        <v>1</v>
      </c>
      <c r="M363" s="26">
        <v>1</v>
      </c>
      <c r="N363" s="27">
        <v>0.96</v>
      </c>
      <c r="O363" s="28">
        <v>0</v>
      </c>
      <c r="P363" s="27">
        <v>0.96</v>
      </c>
      <c r="Q363" s="54"/>
      <c r="R363" s="52"/>
      <c r="S363" s="1"/>
      <c r="T363" s="1"/>
      <c r="U363" s="1"/>
    </row>
    <row r="364" spans="1:21" x14ac:dyDescent="0.3">
      <c r="A364" s="1"/>
      <c r="B364" s="23">
        <v>2</v>
      </c>
      <c r="C364" s="37" t="s">
        <v>193</v>
      </c>
      <c r="D364" s="25">
        <v>0.96</v>
      </c>
      <c r="E364" s="25">
        <v>1</v>
      </c>
      <c r="F364" s="25">
        <v>1</v>
      </c>
      <c r="G364" s="25">
        <v>1</v>
      </c>
      <c r="H364" s="25">
        <v>1</v>
      </c>
      <c r="I364" s="25">
        <v>1</v>
      </c>
      <c r="J364" s="25">
        <v>1</v>
      </c>
      <c r="K364" s="25">
        <v>1</v>
      </c>
      <c r="L364" s="26">
        <v>0</v>
      </c>
      <c r="M364" s="26">
        <v>0.5</v>
      </c>
      <c r="N364" s="27">
        <v>0.95099999999999996</v>
      </c>
      <c r="O364" s="28">
        <v>0</v>
      </c>
      <c r="P364" s="27">
        <v>0.95099999999999996</v>
      </c>
      <c r="Q364" s="54"/>
      <c r="R364" s="52"/>
      <c r="S364" s="1"/>
      <c r="T364" s="1"/>
      <c r="U364" s="1"/>
    </row>
    <row r="365" spans="1:21" x14ac:dyDescent="0.3">
      <c r="A365" s="1"/>
      <c r="B365" s="23">
        <v>3</v>
      </c>
      <c r="C365" s="37" t="s">
        <v>194</v>
      </c>
      <c r="D365" s="25">
        <v>0.98</v>
      </c>
      <c r="E365" s="25">
        <v>1</v>
      </c>
      <c r="F365" s="25">
        <v>1</v>
      </c>
      <c r="G365" s="25">
        <v>1</v>
      </c>
      <c r="H365" s="25">
        <v>1</v>
      </c>
      <c r="I365" s="25">
        <v>0.98429999999999995</v>
      </c>
      <c r="J365" s="25">
        <v>0.8</v>
      </c>
      <c r="K365" s="25">
        <v>0.5</v>
      </c>
      <c r="L365" s="26">
        <v>0</v>
      </c>
      <c r="M365" s="26">
        <v>1</v>
      </c>
      <c r="N365" s="27">
        <v>0.86639999999999995</v>
      </c>
      <c r="O365" s="28">
        <v>0</v>
      </c>
      <c r="P365" s="27">
        <v>0.86639999999999995</v>
      </c>
      <c r="Q365" s="54"/>
      <c r="R365" s="52"/>
      <c r="S365" s="1"/>
      <c r="T365" s="1"/>
      <c r="U365" s="1"/>
    </row>
    <row r="366" spans="1:21" x14ac:dyDescent="0.3">
      <c r="A366" s="1"/>
      <c r="B366" s="23">
        <v>4</v>
      </c>
      <c r="C366" s="37" t="s">
        <v>195</v>
      </c>
      <c r="D366" s="25">
        <v>1</v>
      </c>
      <c r="E366" s="25">
        <v>1</v>
      </c>
      <c r="F366" s="25">
        <v>1</v>
      </c>
      <c r="G366" s="25">
        <v>0.90229999999999999</v>
      </c>
      <c r="H366" s="25">
        <v>1</v>
      </c>
      <c r="I366" s="25">
        <v>0.99060000000000004</v>
      </c>
      <c r="J366" s="25">
        <v>0.8</v>
      </c>
      <c r="K366" s="25">
        <v>0.5</v>
      </c>
      <c r="L366" s="26">
        <v>0</v>
      </c>
      <c r="M366" s="26">
        <v>0.75</v>
      </c>
      <c r="N366" s="27">
        <v>0.8468</v>
      </c>
      <c r="O366" s="28">
        <v>0</v>
      </c>
      <c r="P366" s="27">
        <v>0.8468</v>
      </c>
      <c r="Q366" s="54"/>
      <c r="R366" s="52"/>
      <c r="S366" s="1"/>
      <c r="T366" s="1"/>
      <c r="U366" s="1"/>
    </row>
    <row r="367" spans="1:21" x14ac:dyDescent="0.3">
      <c r="A367" s="1"/>
      <c r="B367" s="23">
        <v>5</v>
      </c>
      <c r="C367" s="37" t="s">
        <v>196</v>
      </c>
      <c r="D367" s="25">
        <v>0.98</v>
      </c>
      <c r="E367" s="25">
        <v>1</v>
      </c>
      <c r="F367" s="25">
        <v>1</v>
      </c>
      <c r="G367" s="25">
        <v>1</v>
      </c>
      <c r="H367" s="25">
        <v>1</v>
      </c>
      <c r="I367" s="25">
        <v>1</v>
      </c>
      <c r="J367" s="25">
        <v>0.8</v>
      </c>
      <c r="K367" s="25">
        <v>0.5</v>
      </c>
      <c r="L367" s="26">
        <v>0</v>
      </c>
      <c r="M367" s="26">
        <v>1</v>
      </c>
      <c r="N367" s="27">
        <v>0.86799999999999999</v>
      </c>
      <c r="O367" s="28">
        <v>0</v>
      </c>
      <c r="P367" s="27">
        <v>0.86799999999999999</v>
      </c>
      <c r="Q367" s="54"/>
      <c r="R367" s="52"/>
      <c r="S367" s="1"/>
      <c r="T367" s="1"/>
      <c r="U367" s="1"/>
    </row>
    <row r="368" spans="1:21" x14ac:dyDescent="0.3">
      <c r="A368" s="1"/>
      <c r="B368" s="59" t="s">
        <v>27</v>
      </c>
      <c r="C368" s="60"/>
      <c r="D368" s="31">
        <v>0.98</v>
      </c>
      <c r="E368" s="31">
        <v>1</v>
      </c>
      <c r="F368" s="31">
        <v>1</v>
      </c>
      <c r="G368" s="31">
        <v>0.98</v>
      </c>
      <c r="H368" s="31">
        <v>1</v>
      </c>
      <c r="I368" s="31">
        <v>0.99</v>
      </c>
      <c r="J368" s="31">
        <v>0.88</v>
      </c>
      <c r="K368" s="31">
        <v>0.6</v>
      </c>
      <c r="L368" s="31">
        <v>0.2</v>
      </c>
      <c r="M368" s="31">
        <v>0.85</v>
      </c>
      <c r="N368" s="31">
        <v>0.9</v>
      </c>
      <c r="O368" s="31">
        <v>0</v>
      </c>
      <c r="P368" s="31">
        <v>0.9</v>
      </c>
      <c r="Q368" s="54"/>
      <c r="R368" s="52"/>
      <c r="S368" s="1"/>
      <c r="T368" s="1"/>
      <c r="U368" s="1"/>
    </row>
    <row r="369" spans="1:2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52"/>
      <c r="R369" s="52"/>
      <c r="S369" s="1"/>
      <c r="T369" s="1"/>
      <c r="U369" s="1"/>
    </row>
    <row r="370" spans="1:2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52"/>
      <c r="R370" s="52"/>
      <c r="S370" s="1"/>
      <c r="T370" s="1"/>
      <c r="U370" s="1"/>
    </row>
    <row r="371" spans="1:2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52"/>
      <c r="R371" s="52"/>
      <c r="S371" s="1"/>
      <c r="T371" s="1"/>
      <c r="U371" s="1"/>
    </row>
    <row r="372" spans="1:21" ht="15.6" x14ac:dyDescent="0.3">
      <c r="A372" s="1"/>
      <c r="B372" s="3"/>
      <c r="C372" s="4" t="s">
        <v>197</v>
      </c>
      <c r="D372" s="3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5" t="s">
        <v>2</v>
      </c>
      <c r="Q372" s="54"/>
      <c r="R372" s="52"/>
      <c r="S372" s="1"/>
      <c r="T372" s="1"/>
      <c r="U372" s="1"/>
    </row>
    <row r="373" spans="1:21" ht="15.6" x14ac:dyDescent="0.3">
      <c r="A373" s="1"/>
      <c r="B373" s="3"/>
      <c r="C373" s="6">
        <v>46174</v>
      </c>
      <c r="D373" s="3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7">
        <v>0.96</v>
      </c>
      <c r="Q373" s="54"/>
      <c r="R373" s="52"/>
      <c r="S373" s="1"/>
      <c r="T373" s="1"/>
      <c r="U373" s="1"/>
    </row>
    <row r="374" spans="1:21" ht="42" x14ac:dyDescent="0.3">
      <c r="A374" s="1"/>
      <c r="B374" s="55" t="s">
        <v>3</v>
      </c>
      <c r="C374" s="55" t="s">
        <v>4</v>
      </c>
      <c r="D374" s="8" t="s">
        <v>5</v>
      </c>
      <c r="E374" s="8" t="s">
        <v>6</v>
      </c>
      <c r="F374" s="9" t="s">
        <v>7</v>
      </c>
      <c r="G374" s="9" t="s">
        <v>8</v>
      </c>
      <c r="H374" s="9" t="s">
        <v>9</v>
      </c>
      <c r="I374" s="10" t="s">
        <v>10</v>
      </c>
      <c r="J374" s="10" t="s">
        <v>11</v>
      </c>
      <c r="K374" s="11" t="s">
        <v>12</v>
      </c>
      <c r="L374" s="10" t="s">
        <v>13</v>
      </c>
      <c r="M374" s="11" t="s">
        <v>14</v>
      </c>
      <c r="N374" s="12" t="s">
        <v>15</v>
      </c>
      <c r="O374" s="57" t="s">
        <v>16</v>
      </c>
      <c r="P374" s="57" t="s">
        <v>17</v>
      </c>
      <c r="Q374" s="54"/>
      <c r="R374" s="52"/>
      <c r="S374" s="1"/>
      <c r="T374" s="1"/>
      <c r="U374" s="1"/>
    </row>
    <row r="375" spans="1:21" x14ac:dyDescent="0.3">
      <c r="A375" s="1"/>
      <c r="B375" s="56"/>
      <c r="C375" s="56"/>
      <c r="D375" s="13" t="s">
        <v>18</v>
      </c>
      <c r="E375" s="13" t="s">
        <v>18</v>
      </c>
      <c r="F375" s="13" t="s">
        <v>18</v>
      </c>
      <c r="G375" s="13" t="s">
        <v>18</v>
      </c>
      <c r="H375" s="13" t="s">
        <v>18</v>
      </c>
      <c r="I375" s="13" t="s">
        <v>18</v>
      </c>
      <c r="J375" s="13" t="s">
        <v>18</v>
      </c>
      <c r="K375" s="13" t="s">
        <v>18</v>
      </c>
      <c r="L375" s="13" t="s">
        <v>18</v>
      </c>
      <c r="M375" s="13" t="s">
        <v>18</v>
      </c>
      <c r="N375" s="14" t="s">
        <v>29</v>
      </c>
      <c r="O375" s="58"/>
      <c r="P375" s="58"/>
      <c r="Q375" s="54"/>
      <c r="R375" s="52"/>
      <c r="S375" s="1"/>
      <c r="T375" s="1"/>
      <c r="U375" s="1"/>
    </row>
    <row r="376" spans="1:21" x14ac:dyDescent="0.3">
      <c r="A376" s="1"/>
      <c r="B376" s="59" t="s">
        <v>20</v>
      </c>
      <c r="C376" s="60"/>
      <c r="D376" s="16">
        <v>0.1</v>
      </c>
      <c r="E376" s="16">
        <v>0.05</v>
      </c>
      <c r="F376" s="16">
        <v>0.1</v>
      </c>
      <c r="G376" s="16">
        <v>0.1</v>
      </c>
      <c r="H376" s="16">
        <v>0.05</v>
      </c>
      <c r="I376" s="17">
        <v>0.1</v>
      </c>
      <c r="J376" s="17">
        <v>0.35</v>
      </c>
      <c r="K376" s="17">
        <v>0.08</v>
      </c>
      <c r="L376" s="17">
        <v>0.02</v>
      </c>
      <c r="M376" s="17">
        <v>0.05</v>
      </c>
      <c r="N376" s="19">
        <v>1</v>
      </c>
      <c r="O376" s="20"/>
      <c r="P376" s="22"/>
      <c r="Q376" s="54"/>
      <c r="R376" s="52"/>
      <c r="S376" s="1"/>
      <c r="T376" s="1"/>
      <c r="U376" s="1"/>
    </row>
    <row r="377" spans="1:21" x14ac:dyDescent="0.3">
      <c r="A377" s="1"/>
      <c r="B377" s="23">
        <v>1</v>
      </c>
      <c r="C377" s="37" t="s">
        <v>198</v>
      </c>
      <c r="D377" s="25">
        <v>1</v>
      </c>
      <c r="E377" s="25">
        <v>1</v>
      </c>
      <c r="F377" s="25">
        <v>1</v>
      </c>
      <c r="G377" s="25">
        <v>1</v>
      </c>
      <c r="H377" s="25">
        <v>1</v>
      </c>
      <c r="I377" s="25">
        <v>0.99229999999999996</v>
      </c>
      <c r="J377" s="25">
        <v>1</v>
      </c>
      <c r="K377" s="25">
        <v>1</v>
      </c>
      <c r="L377" s="26">
        <v>0</v>
      </c>
      <c r="M377" s="26">
        <v>1</v>
      </c>
      <c r="N377" s="27">
        <v>0.97919999999999996</v>
      </c>
      <c r="O377" s="28">
        <v>0</v>
      </c>
      <c r="P377" s="27">
        <v>0.97919999999999996</v>
      </c>
      <c r="Q377" s="54"/>
      <c r="R377" s="52"/>
      <c r="S377" s="1"/>
      <c r="T377" s="1"/>
      <c r="U377" s="1"/>
    </row>
    <row r="378" spans="1:21" x14ac:dyDescent="0.3">
      <c r="A378" s="1"/>
      <c r="B378" s="23">
        <v>2</v>
      </c>
      <c r="C378" s="37" t="s">
        <v>199</v>
      </c>
      <c r="D378" s="25">
        <v>0.98</v>
      </c>
      <c r="E378" s="25">
        <v>0.99</v>
      </c>
      <c r="F378" s="25">
        <v>1</v>
      </c>
      <c r="G378" s="25">
        <v>1</v>
      </c>
      <c r="H378" s="25">
        <v>1</v>
      </c>
      <c r="I378" s="25">
        <v>1</v>
      </c>
      <c r="J378" s="25">
        <v>1</v>
      </c>
      <c r="K378" s="25">
        <v>1</v>
      </c>
      <c r="L378" s="26">
        <v>0</v>
      </c>
      <c r="M378" s="26">
        <v>1</v>
      </c>
      <c r="N378" s="27">
        <v>0.97750000000000004</v>
      </c>
      <c r="O378" s="28">
        <v>0</v>
      </c>
      <c r="P378" s="27">
        <v>0.97750000000000004</v>
      </c>
      <c r="Q378" s="54"/>
      <c r="R378" s="52"/>
      <c r="S378" s="1"/>
      <c r="T378" s="1"/>
      <c r="U378" s="1"/>
    </row>
    <row r="379" spans="1:21" x14ac:dyDescent="0.3">
      <c r="A379" s="1"/>
      <c r="B379" s="23">
        <v>4</v>
      </c>
      <c r="C379" s="37" t="s">
        <v>200</v>
      </c>
      <c r="D379" s="25">
        <v>1</v>
      </c>
      <c r="E379" s="25">
        <v>1</v>
      </c>
      <c r="F379" s="25">
        <v>1</v>
      </c>
      <c r="G379" s="25">
        <v>1</v>
      </c>
      <c r="H379" s="25">
        <v>1</v>
      </c>
      <c r="I379" s="25">
        <v>0.99229999999999996</v>
      </c>
      <c r="J379" s="25">
        <v>1</v>
      </c>
      <c r="K379" s="25">
        <v>1</v>
      </c>
      <c r="L379" s="26">
        <v>0</v>
      </c>
      <c r="M379" s="26">
        <v>1</v>
      </c>
      <c r="N379" s="27">
        <v>0.97919999999999996</v>
      </c>
      <c r="O379" s="28">
        <v>0</v>
      </c>
      <c r="P379" s="27">
        <v>0.97919999999999996</v>
      </c>
      <c r="Q379" s="54"/>
      <c r="R379" s="52"/>
      <c r="S379" s="1"/>
      <c r="T379" s="1"/>
      <c r="U379" s="1"/>
    </row>
    <row r="380" spans="1:21" x14ac:dyDescent="0.3">
      <c r="A380" s="1"/>
      <c r="B380" s="23">
        <v>5</v>
      </c>
      <c r="C380" s="37" t="s">
        <v>201</v>
      </c>
      <c r="D380" s="25">
        <v>1</v>
      </c>
      <c r="E380" s="25">
        <v>1</v>
      </c>
      <c r="F380" s="25">
        <v>1</v>
      </c>
      <c r="G380" s="25">
        <v>1</v>
      </c>
      <c r="H380" s="25">
        <v>1</v>
      </c>
      <c r="I380" s="25">
        <v>0.99229999999999996</v>
      </c>
      <c r="J380" s="25">
        <v>1</v>
      </c>
      <c r="K380" s="25">
        <v>0.5</v>
      </c>
      <c r="L380" s="26">
        <v>0</v>
      </c>
      <c r="M380" s="26">
        <v>1</v>
      </c>
      <c r="N380" s="27">
        <v>0.93920000000000003</v>
      </c>
      <c r="O380" s="28">
        <v>0</v>
      </c>
      <c r="P380" s="27">
        <v>0.93920000000000003</v>
      </c>
      <c r="Q380" s="54"/>
      <c r="R380" s="52"/>
      <c r="S380" s="1"/>
      <c r="T380" s="1"/>
      <c r="U380" s="1"/>
    </row>
    <row r="381" spans="1:21" x14ac:dyDescent="0.3">
      <c r="A381" s="1"/>
      <c r="B381" s="23">
        <v>6</v>
      </c>
      <c r="C381" s="37" t="s">
        <v>202</v>
      </c>
      <c r="D381" s="25">
        <v>1</v>
      </c>
      <c r="E381" s="25">
        <v>1</v>
      </c>
      <c r="F381" s="25">
        <v>1</v>
      </c>
      <c r="G381" s="25">
        <v>1</v>
      </c>
      <c r="H381" s="25">
        <v>1</v>
      </c>
      <c r="I381" s="25">
        <v>1</v>
      </c>
      <c r="J381" s="25">
        <v>1</v>
      </c>
      <c r="K381" s="25">
        <v>1</v>
      </c>
      <c r="L381" s="26">
        <v>1</v>
      </c>
      <c r="M381" s="26">
        <v>1</v>
      </c>
      <c r="N381" s="27">
        <v>1</v>
      </c>
      <c r="O381" s="28">
        <v>0</v>
      </c>
      <c r="P381" s="27">
        <v>1</v>
      </c>
      <c r="Q381" s="54"/>
      <c r="R381" s="52"/>
      <c r="S381" s="1"/>
      <c r="T381" s="1"/>
      <c r="U381" s="1"/>
    </row>
    <row r="382" spans="1:21" x14ac:dyDescent="0.3">
      <c r="A382" s="1"/>
      <c r="B382" s="23">
        <v>7</v>
      </c>
      <c r="C382" s="37" t="s">
        <v>203</v>
      </c>
      <c r="D382" s="25">
        <v>0.98</v>
      </c>
      <c r="E382" s="25">
        <v>1</v>
      </c>
      <c r="F382" s="25">
        <v>1</v>
      </c>
      <c r="G382" s="25">
        <v>1</v>
      </c>
      <c r="H382" s="25">
        <v>1</v>
      </c>
      <c r="I382" s="25">
        <v>0.99329999999999996</v>
      </c>
      <c r="J382" s="25">
        <v>0.8</v>
      </c>
      <c r="K382" s="25">
        <v>0.5</v>
      </c>
      <c r="L382" s="26">
        <v>0</v>
      </c>
      <c r="M382" s="26">
        <v>1</v>
      </c>
      <c r="N382" s="27">
        <v>0.86729999999999996</v>
      </c>
      <c r="O382" s="28">
        <v>0</v>
      </c>
      <c r="P382" s="27">
        <v>0.86729999999999996</v>
      </c>
      <c r="Q382" s="54"/>
      <c r="R382" s="52"/>
      <c r="S382" s="1"/>
      <c r="T382" s="1"/>
      <c r="U382" s="1"/>
    </row>
    <row r="383" spans="1:21" x14ac:dyDescent="0.3">
      <c r="A383" s="1"/>
      <c r="B383" s="59" t="s">
        <v>27</v>
      </c>
      <c r="C383" s="60"/>
      <c r="D383" s="31">
        <v>0.99</v>
      </c>
      <c r="E383" s="31">
        <v>1</v>
      </c>
      <c r="F383" s="31">
        <v>1</v>
      </c>
      <c r="G383" s="31">
        <v>1</v>
      </c>
      <c r="H383" s="31">
        <v>1</v>
      </c>
      <c r="I383" s="31">
        <v>1</v>
      </c>
      <c r="J383" s="31">
        <v>0.97</v>
      </c>
      <c r="K383" s="31">
        <v>0.83</v>
      </c>
      <c r="L383" s="31">
        <v>0.17</v>
      </c>
      <c r="M383" s="31">
        <v>1</v>
      </c>
      <c r="N383" s="31">
        <v>0.96</v>
      </c>
      <c r="O383" s="31">
        <v>0</v>
      </c>
      <c r="P383" s="31">
        <v>0.96</v>
      </c>
      <c r="Q383" s="54"/>
      <c r="R383" s="52"/>
      <c r="S383" s="1"/>
      <c r="T383" s="1"/>
      <c r="U383" s="1"/>
    </row>
    <row r="384" spans="1:2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52"/>
      <c r="R384" s="52"/>
      <c r="S384" s="1"/>
      <c r="T384" s="1"/>
      <c r="U384" s="1"/>
    </row>
    <row r="385" spans="1:2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52"/>
      <c r="R385" s="52"/>
      <c r="S385" s="1"/>
      <c r="T385" s="1"/>
      <c r="U385" s="1"/>
    </row>
    <row r="386" spans="1:21" ht="15.6" x14ac:dyDescent="0.3">
      <c r="A386" s="1"/>
      <c r="B386" s="3"/>
      <c r="C386" s="4" t="s">
        <v>204</v>
      </c>
      <c r="D386" s="3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5" t="s">
        <v>2</v>
      </c>
      <c r="Q386" s="54"/>
      <c r="R386" s="52"/>
      <c r="S386" s="1"/>
      <c r="T386" s="1"/>
      <c r="U386" s="1"/>
    </row>
    <row r="387" spans="1:21" ht="15.6" x14ac:dyDescent="0.3">
      <c r="A387" s="1"/>
      <c r="B387" s="3"/>
      <c r="C387" s="6">
        <v>46174</v>
      </c>
      <c r="D387" s="3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7">
        <v>0.94</v>
      </c>
      <c r="Q387" s="54"/>
      <c r="R387" s="52"/>
      <c r="S387" s="1"/>
      <c r="T387" s="1"/>
      <c r="U387" s="1"/>
    </row>
    <row r="388" spans="1:21" ht="42" x14ac:dyDescent="0.3">
      <c r="A388" s="1"/>
      <c r="B388" s="55" t="s">
        <v>3</v>
      </c>
      <c r="C388" s="55" t="s">
        <v>4</v>
      </c>
      <c r="D388" s="8" t="s">
        <v>5</v>
      </c>
      <c r="E388" s="8" t="s">
        <v>6</v>
      </c>
      <c r="F388" s="9" t="s">
        <v>7</v>
      </c>
      <c r="G388" s="9" t="s">
        <v>8</v>
      </c>
      <c r="H388" s="9" t="s">
        <v>9</v>
      </c>
      <c r="I388" s="10" t="s">
        <v>10</v>
      </c>
      <c r="J388" s="10" t="s">
        <v>11</v>
      </c>
      <c r="K388" s="11" t="s">
        <v>12</v>
      </c>
      <c r="L388" s="10" t="s">
        <v>13</v>
      </c>
      <c r="M388" s="11" t="s">
        <v>14</v>
      </c>
      <c r="N388" s="12" t="s">
        <v>15</v>
      </c>
      <c r="O388" s="57" t="s">
        <v>16</v>
      </c>
      <c r="P388" s="57" t="s">
        <v>17</v>
      </c>
      <c r="Q388" s="54"/>
      <c r="R388" s="52"/>
      <c r="S388" s="1"/>
      <c r="T388" s="1"/>
      <c r="U388" s="1"/>
    </row>
    <row r="389" spans="1:21" x14ac:dyDescent="0.3">
      <c r="A389" s="1"/>
      <c r="B389" s="56"/>
      <c r="C389" s="56"/>
      <c r="D389" s="13" t="s">
        <v>18</v>
      </c>
      <c r="E389" s="13" t="s">
        <v>18</v>
      </c>
      <c r="F389" s="13" t="s">
        <v>18</v>
      </c>
      <c r="G389" s="13" t="s">
        <v>18</v>
      </c>
      <c r="H389" s="13" t="s">
        <v>18</v>
      </c>
      <c r="I389" s="13" t="s">
        <v>18</v>
      </c>
      <c r="J389" s="13" t="s">
        <v>18</v>
      </c>
      <c r="K389" s="13" t="s">
        <v>18</v>
      </c>
      <c r="L389" s="13" t="s">
        <v>18</v>
      </c>
      <c r="M389" s="13" t="s">
        <v>18</v>
      </c>
      <c r="N389" s="14" t="s">
        <v>29</v>
      </c>
      <c r="O389" s="58"/>
      <c r="P389" s="58"/>
      <c r="Q389" s="54"/>
      <c r="R389" s="52"/>
      <c r="S389" s="1"/>
      <c r="T389" s="1"/>
      <c r="U389" s="1"/>
    </row>
    <row r="390" spans="1:21" x14ac:dyDescent="0.3">
      <c r="A390" s="1"/>
      <c r="B390" s="59" t="s">
        <v>20</v>
      </c>
      <c r="C390" s="60"/>
      <c r="D390" s="16">
        <v>0.1</v>
      </c>
      <c r="E390" s="16">
        <v>0.05</v>
      </c>
      <c r="F390" s="16">
        <v>0.1</v>
      </c>
      <c r="G390" s="16">
        <v>0.1</v>
      </c>
      <c r="H390" s="16">
        <v>0.05</v>
      </c>
      <c r="I390" s="17">
        <v>0.1</v>
      </c>
      <c r="J390" s="17">
        <v>0.35</v>
      </c>
      <c r="K390" s="17">
        <v>0.08</v>
      </c>
      <c r="L390" s="17">
        <v>0.02</v>
      </c>
      <c r="M390" s="17">
        <v>0.05</v>
      </c>
      <c r="N390" s="19">
        <v>1</v>
      </c>
      <c r="O390" s="20"/>
      <c r="P390" s="22"/>
      <c r="Q390" s="54"/>
      <c r="R390" s="52"/>
      <c r="S390" s="1"/>
      <c r="T390" s="1"/>
      <c r="U390" s="1"/>
    </row>
    <row r="391" spans="1:21" x14ac:dyDescent="0.3">
      <c r="A391" s="1"/>
      <c r="B391" s="23">
        <v>1</v>
      </c>
      <c r="C391" s="37" t="s">
        <v>205</v>
      </c>
      <c r="D391" s="25">
        <v>1</v>
      </c>
      <c r="E391" s="25">
        <v>1</v>
      </c>
      <c r="F391" s="25">
        <v>1</v>
      </c>
      <c r="G391" s="25">
        <v>1</v>
      </c>
      <c r="H391" s="25">
        <v>1</v>
      </c>
      <c r="I391" s="25">
        <v>1</v>
      </c>
      <c r="J391" s="25">
        <v>0.8</v>
      </c>
      <c r="K391" s="25">
        <v>0.5</v>
      </c>
      <c r="L391" s="26">
        <v>0</v>
      </c>
      <c r="M391" s="26">
        <v>1</v>
      </c>
      <c r="N391" s="27">
        <v>0.87</v>
      </c>
      <c r="O391" s="28">
        <v>0</v>
      </c>
      <c r="P391" s="27">
        <v>0.87</v>
      </c>
      <c r="Q391" s="54"/>
      <c r="R391" s="52"/>
      <c r="S391" s="1"/>
      <c r="T391" s="1"/>
      <c r="U391" s="1"/>
    </row>
    <row r="392" spans="1:21" x14ac:dyDescent="0.3">
      <c r="A392" s="1"/>
      <c r="B392" s="23">
        <v>2</v>
      </c>
      <c r="C392" s="37" t="s">
        <v>206</v>
      </c>
      <c r="D392" s="25">
        <v>1</v>
      </c>
      <c r="E392" s="25">
        <v>1</v>
      </c>
      <c r="F392" s="25">
        <v>1</v>
      </c>
      <c r="G392" s="25">
        <v>1</v>
      </c>
      <c r="H392" s="25">
        <v>1</v>
      </c>
      <c r="I392" s="25">
        <v>1</v>
      </c>
      <c r="J392" s="25">
        <v>1</v>
      </c>
      <c r="K392" s="25">
        <v>1</v>
      </c>
      <c r="L392" s="26">
        <v>1</v>
      </c>
      <c r="M392" s="26">
        <v>1</v>
      </c>
      <c r="N392" s="27">
        <v>1</v>
      </c>
      <c r="O392" s="28">
        <v>0</v>
      </c>
      <c r="P392" s="27">
        <v>1</v>
      </c>
      <c r="Q392" s="54"/>
      <c r="R392" s="52"/>
      <c r="S392" s="1"/>
      <c r="T392" s="1"/>
      <c r="U392" s="1"/>
    </row>
    <row r="393" spans="1:21" x14ac:dyDescent="0.3">
      <c r="A393" s="1"/>
      <c r="B393" s="23">
        <v>4</v>
      </c>
      <c r="C393" s="37" t="s">
        <v>207</v>
      </c>
      <c r="D393" s="25">
        <v>1</v>
      </c>
      <c r="E393" s="25">
        <v>1</v>
      </c>
      <c r="F393" s="25">
        <v>1</v>
      </c>
      <c r="G393" s="25">
        <v>1</v>
      </c>
      <c r="H393" s="25">
        <v>1</v>
      </c>
      <c r="I393" s="25">
        <v>1</v>
      </c>
      <c r="J393" s="25">
        <v>1</v>
      </c>
      <c r="K393" s="25">
        <v>1</v>
      </c>
      <c r="L393" s="26">
        <v>0</v>
      </c>
      <c r="M393" s="26">
        <v>1</v>
      </c>
      <c r="N393" s="27">
        <v>0.98</v>
      </c>
      <c r="O393" s="28">
        <v>0</v>
      </c>
      <c r="P393" s="27">
        <v>0.98</v>
      </c>
      <c r="Q393" s="54"/>
      <c r="R393" s="52"/>
      <c r="S393" s="1"/>
      <c r="T393" s="1"/>
      <c r="U393" s="1"/>
    </row>
    <row r="394" spans="1:21" x14ac:dyDescent="0.3">
      <c r="A394" s="1"/>
      <c r="B394" s="23">
        <v>5</v>
      </c>
      <c r="C394" s="37" t="s">
        <v>208</v>
      </c>
      <c r="D394" s="25">
        <v>1</v>
      </c>
      <c r="E394" s="25">
        <v>1</v>
      </c>
      <c r="F394" s="25">
        <v>1</v>
      </c>
      <c r="G394" s="25">
        <v>1</v>
      </c>
      <c r="H394" s="25">
        <v>1</v>
      </c>
      <c r="I394" s="25">
        <v>1</v>
      </c>
      <c r="J394" s="25">
        <v>0.8</v>
      </c>
      <c r="K394" s="25">
        <v>1</v>
      </c>
      <c r="L394" s="26">
        <v>0</v>
      </c>
      <c r="M394" s="26">
        <v>1</v>
      </c>
      <c r="N394" s="27">
        <v>0.91</v>
      </c>
      <c r="O394" s="28">
        <v>0</v>
      </c>
      <c r="P394" s="27">
        <v>0.91</v>
      </c>
      <c r="Q394" s="54"/>
      <c r="R394" s="52"/>
      <c r="S394" s="1"/>
      <c r="T394" s="1"/>
      <c r="U394" s="1"/>
    </row>
    <row r="395" spans="1:21" x14ac:dyDescent="0.3">
      <c r="A395" s="1"/>
      <c r="B395" s="23">
        <v>6</v>
      </c>
      <c r="C395" s="37" t="s">
        <v>209</v>
      </c>
      <c r="D395" s="25">
        <v>0.98</v>
      </c>
      <c r="E395" s="25">
        <v>1</v>
      </c>
      <c r="F395" s="25">
        <v>1</v>
      </c>
      <c r="G395" s="25">
        <v>1</v>
      </c>
      <c r="H395" s="25">
        <v>1</v>
      </c>
      <c r="I395" s="25">
        <v>0.99629999999999996</v>
      </c>
      <c r="J395" s="25">
        <v>0.8</v>
      </c>
      <c r="K395" s="25">
        <v>1</v>
      </c>
      <c r="L395" s="26">
        <v>1</v>
      </c>
      <c r="M395" s="26">
        <v>1</v>
      </c>
      <c r="N395" s="27">
        <v>0.92759999999999998</v>
      </c>
      <c r="O395" s="28">
        <v>0</v>
      </c>
      <c r="P395" s="27">
        <v>0.92759999999999998</v>
      </c>
      <c r="Q395" s="54"/>
      <c r="R395" s="52"/>
      <c r="S395" s="1"/>
      <c r="T395" s="1"/>
      <c r="U395" s="1"/>
    </row>
    <row r="396" spans="1:21" x14ac:dyDescent="0.3">
      <c r="A396" s="1"/>
      <c r="B396" s="59" t="s">
        <v>27</v>
      </c>
      <c r="C396" s="60"/>
      <c r="D396" s="31">
        <v>1</v>
      </c>
      <c r="E396" s="31">
        <v>1</v>
      </c>
      <c r="F396" s="31">
        <v>1</v>
      </c>
      <c r="G396" s="31">
        <v>1</v>
      </c>
      <c r="H396" s="31">
        <v>1</v>
      </c>
      <c r="I396" s="31">
        <v>1</v>
      </c>
      <c r="J396" s="31">
        <v>0.88</v>
      </c>
      <c r="K396" s="31">
        <v>0.9</v>
      </c>
      <c r="L396" s="31">
        <v>0.4</v>
      </c>
      <c r="M396" s="31">
        <v>1</v>
      </c>
      <c r="N396" s="31">
        <v>0.94</v>
      </c>
      <c r="O396" s="31">
        <v>0</v>
      </c>
      <c r="P396" s="31">
        <v>0.94</v>
      </c>
      <c r="Q396" s="54"/>
      <c r="R396" s="52"/>
      <c r="S396" s="1"/>
      <c r="T396" s="1"/>
      <c r="U396" s="1"/>
    </row>
    <row r="397" spans="1:2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52"/>
      <c r="R397" s="52"/>
      <c r="S397" s="1"/>
      <c r="T397" s="1"/>
      <c r="U397" s="1"/>
    </row>
    <row r="398" spans="1:2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52"/>
      <c r="R398" s="52"/>
      <c r="S398" s="1"/>
      <c r="T398" s="1"/>
      <c r="U398" s="1"/>
    </row>
    <row r="399" spans="1:2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52"/>
      <c r="R399" s="52"/>
      <c r="S399" s="1"/>
      <c r="T399" s="1"/>
      <c r="U399" s="1"/>
    </row>
    <row r="400" spans="1:21" ht="15.6" x14ac:dyDescent="0.3">
      <c r="A400" s="1"/>
      <c r="B400" s="3"/>
      <c r="C400" s="4" t="s">
        <v>210</v>
      </c>
      <c r="D400" s="3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5" t="s">
        <v>2</v>
      </c>
      <c r="Q400" s="54"/>
      <c r="R400" s="52"/>
      <c r="S400" s="1"/>
      <c r="T400" s="1"/>
      <c r="U400" s="1"/>
    </row>
    <row r="401" spans="1:21" ht="15.6" x14ac:dyDescent="0.3">
      <c r="A401" s="1"/>
      <c r="B401" s="3"/>
      <c r="C401" s="6">
        <v>46174</v>
      </c>
      <c r="D401" s="3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7">
        <v>0.94</v>
      </c>
      <c r="Q401" s="54"/>
      <c r="R401" s="52"/>
      <c r="S401" s="1"/>
      <c r="T401" s="1"/>
      <c r="U401" s="1"/>
    </row>
    <row r="402" spans="1:21" ht="42" x14ac:dyDescent="0.3">
      <c r="A402" s="1"/>
      <c r="B402" s="55" t="s">
        <v>3</v>
      </c>
      <c r="C402" s="55" t="s">
        <v>4</v>
      </c>
      <c r="D402" s="8" t="s">
        <v>5</v>
      </c>
      <c r="E402" s="8" t="s">
        <v>6</v>
      </c>
      <c r="F402" s="9" t="s">
        <v>7</v>
      </c>
      <c r="G402" s="9" t="s">
        <v>8</v>
      </c>
      <c r="H402" s="9" t="s">
        <v>9</v>
      </c>
      <c r="I402" s="10" t="s">
        <v>10</v>
      </c>
      <c r="J402" s="10" t="s">
        <v>11</v>
      </c>
      <c r="K402" s="11" t="s">
        <v>12</v>
      </c>
      <c r="L402" s="10" t="s">
        <v>13</v>
      </c>
      <c r="M402" s="11" t="s">
        <v>14</v>
      </c>
      <c r="N402" s="12" t="s">
        <v>15</v>
      </c>
      <c r="O402" s="57" t="s">
        <v>16</v>
      </c>
      <c r="P402" s="57" t="s">
        <v>17</v>
      </c>
      <c r="Q402" s="54"/>
      <c r="R402" s="52"/>
      <c r="S402" s="1"/>
      <c r="T402" s="1"/>
      <c r="U402" s="1"/>
    </row>
    <row r="403" spans="1:21" x14ac:dyDescent="0.3">
      <c r="A403" s="1"/>
      <c r="B403" s="56"/>
      <c r="C403" s="56"/>
      <c r="D403" s="13" t="s">
        <v>18</v>
      </c>
      <c r="E403" s="13" t="s">
        <v>18</v>
      </c>
      <c r="F403" s="13" t="s">
        <v>18</v>
      </c>
      <c r="G403" s="13" t="s">
        <v>18</v>
      </c>
      <c r="H403" s="13" t="s">
        <v>18</v>
      </c>
      <c r="I403" s="13" t="s">
        <v>18</v>
      </c>
      <c r="J403" s="13" t="s">
        <v>18</v>
      </c>
      <c r="K403" s="13" t="s">
        <v>18</v>
      </c>
      <c r="L403" s="13" t="s">
        <v>18</v>
      </c>
      <c r="M403" s="13" t="s">
        <v>18</v>
      </c>
      <c r="N403" s="14" t="s">
        <v>29</v>
      </c>
      <c r="O403" s="58"/>
      <c r="P403" s="58"/>
      <c r="Q403" s="54"/>
      <c r="R403" s="52"/>
      <c r="S403" s="1"/>
      <c r="T403" s="1"/>
      <c r="U403" s="1"/>
    </row>
    <row r="404" spans="1:21" x14ac:dyDescent="0.3">
      <c r="A404" s="1"/>
      <c r="B404" s="59" t="s">
        <v>20</v>
      </c>
      <c r="C404" s="60"/>
      <c r="D404" s="16">
        <v>0.1</v>
      </c>
      <c r="E404" s="16">
        <v>0.05</v>
      </c>
      <c r="F404" s="16">
        <v>0.1</v>
      </c>
      <c r="G404" s="16">
        <v>0.1</v>
      </c>
      <c r="H404" s="16">
        <v>0.05</v>
      </c>
      <c r="I404" s="17">
        <v>0.1</v>
      </c>
      <c r="J404" s="17">
        <v>0.35</v>
      </c>
      <c r="K404" s="17">
        <v>0.08</v>
      </c>
      <c r="L404" s="17">
        <v>0.02</v>
      </c>
      <c r="M404" s="17">
        <v>0.05</v>
      </c>
      <c r="N404" s="19">
        <v>1</v>
      </c>
      <c r="O404" s="20"/>
      <c r="P404" s="22"/>
      <c r="Q404" s="54"/>
      <c r="R404" s="52"/>
      <c r="S404" s="1"/>
      <c r="T404" s="1"/>
      <c r="U404" s="1"/>
    </row>
    <row r="405" spans="1:21" x14ac:dyDescent="0.3">
      <c r="A405" s="1"/>
      <c r="B405" s="23">
        <v>1</v>
      </c>
      <c r="C405" s="37" t="s">
        <v>211</v>
      </c>
      <c r="D405" s="25">
        <v>0.98</v>
      </c>
      <c r="E405" s="25">
        <v>1</v>
      </c>
      <c r="F405" s="25">
        <v>0.99219999999999997</v>
      </c>
      <c r="G405" s="25">
        <v>0.97299999999999998</v>
      </c>
      <c r="H405" s="25">
        <v>1</v>
      </c>
      <c r="I405" s="25">
        <v>1</v>
      </c>
      <c r="J405" s="25">
        <v>1</v>
      </c>
      <c r="K405" s="25">
        <v>1</v>
      </c>
      <c r="L405" s="26">
        <v>0</v>
      </c>
      <c r="M405" s="26">
        <v>1</v>
      </c>
      <c r="N405" s="27">
        <v>0.97450000000000003</v>
      </c>
      <c r="O405" s="28">
        <v>0</v>
      </c>
      <c r="P405" s="27">
        <v>0.97450000000000003</v>
      </c>
      <c r="Q405" s="54"/>
      <c r="R405" s="52"/>
      <c r="S405" s="1"/>
      <c r="T405" s="1"/>
      <c r="U405" s="1"/>
    </row>
    <row r="406" spans="1:21" x14ac:dyDescent="0.3">
      <c r="A406" s="1"/>
      <c r="B406" s="23">
        <v>2</v>
      </c>
      <c r="C406" s="37" t="s">
        <v>212</v>
      </c>
      <c r="D406" s="25">
        <v>1</v>
      </c>
      <c r="E406" s="25">
        <v>1</v>
      </c>
      <c r="F406" s="25">
        <v>1</v>
      </c>
      <c r="G406" s="25">
        <v>0.98740000000000006</v>
      </c>
      <c r="H406" s="25">
        <v>1</v>
      </c>
      <c r="I406" s="25">
        <v>0.98850000000000005</v>
      </c>
      <c r="J406" s="25">
        <v>1</v>
      </c>
      <c r="K406" s="25">
        <v>1</v>
      </c>
      <c r="L406" s="26">
        <v>0</v>
      </c>
      <c r="M406" s="26">
        <v>1</v>
      </c>
      <c r="N406" s="27">
        <v>0.97760000000000002</v>
      </c>
      <c r="O406" s="28">
        <v>0</v>
      </c>
      <c r="P406" s="27">
        <v>0.97760000000000002</v>
      </c>
      <c r="Q406" s="54"/>
      <c r="R406" s="52"/>
      <c r="S406" s="1"/>
      <c r="T406" s="1"/>
      <c r="U406" s="1"/>
    </row>
    <row r="407" spans="1:21" x14ac:dyDescent="0.3">
      <c r="A407" s="1"/>
      <c r="B407" s="23">
        <v>3</v>
      </c>
      <c r="C407" s="37" t="s">
        <v>213</v>
      </c>
      <c r="D407" s="25">
        <v>1</v>
      </c>
      <c r="E407" s="25">
        <v>1</v>
      </c>
      <c r="F407" s="25">
        <v>1</v>
      </c>
      <c r="G407" s="25">
        <v>1</v>
      </c>
      <c r="H407" s="25">
        <v>1</v>
      </c>
      <c r="I407" s="25">
        <v>1</v>
      </c>
      <c r="J407" s="25">
        <v>1</v>
      </c>
      <c r="K407" s="25">
        <v>0.5</v>
      </c>
      <c r="L407" s="26">
        <v>0</v>
      </c>
      <c r="M407" s="26">
        <v>0.5</v>
      </c>
      <c r="N407" s="27">
        <v>0.91500000000000004</v>
      </c>
      <c r="O407" s="28">
        <v>0</v>
      </c>
      <c r="P407" s="27">
        <v>0.91500000000000004</v>
      </c>
      <c r="Q407" s="54"/>
      <c r="R407" s="52"/>
      <c r="S407" s="1"/>
      <c r="T407" s="1"/>
      <c r="U407" s="1"/>
    </row>
    <row r="408" spans="1:21" x14ac:dyDescent="0.3">
      <c r="A408" s="1"/>
      <c r="B408" s="23">
        <v>4</v>
      </c>
      <c r="C408" s="37" t="s">
        <v>214</v>
      </c>
      <c r="D408" s="25">
        <v>0.98</v>
      </c>
      <c r="E408" s="25">
        <v>1</v>
      </c>
      <c r="F408" s="25">
        <v>1</v>
      </c>
      <c r="G408" s="25">
        <v>1</v>
      </c>
      <c r="H408" s="25">
        <v>1</v>
      </c>
      <c r="I408" s="25">
        <v>1</v>
      </c>
      <c r="J408" s="25">
        <v>1</v>
      </c>
      <c r="K408" s="25">
        <v>1</v>
      </c>
      <c r="L408" s="26">
        <v>0</v>
      </c>
      <c r="M408" s="26">
        <v>1</v>
      </c>
      <c r="N408" s="27">
        <v>0.97799999999999998</v>
      </c>
      <c r="O408" s="28">
        <v>0</v>
      </c>
      <c r="P408" s="27">
        <v>0.97799999999999998</v>
      </c>
      <c r="Q408" s="54"/>
      <c r="R408" s="52"/>
      <c r="S408" s="1"/>
      <c r="T408" s="1"/>
      <c r="U408" s="1"/>
    </row>
    <row r="409" spans="1:21" x14ac:dyDescent="0.3">
      <c r="A409" s="1"/>
      <c r="B409" s="23">
        <v>5</v>
      </c>
      <c r="C409" s="37" t="s">
        <v>215</v>
      </c>
      <c r="D409" s="25">
        <v>1</v>
      </c>
      <c r="E409" s="25">
        <v>1</v>
      </c>
      <c r="F409" s="25">
        <v>1</v>
      </c>
      <c r="G409" s="25">
        <v>1</v>
      </c>
      <c r="H409" s="25">
        <v>1</v>
      </c>
      <c r="I409" s="25">
        <v>0.98509999999999998</v>
      </c>
      <c r="J409" s="25">
        <v>0.8</v>
      </c>
      <c r="K409" s="25">
        <v>0</v>
      </c>
      <c r="L409" s="26">
        <v>0</v>
      </c>
      <c r="M409" s="26">
        <v>1</v>
      </c>
      <c r="N409" s="27">
        <v>0.82850000000000001</v>
      </c>
      <c r="O409" s="28">
        <v>0</v>
      </c>
      <c r="P409" s="27">
        <v>0.82850000000000001</v>
      </c>
      <c r="Q409" s="54"/>
      <c r="R409" s="52"/>
      <c r="S409" s="1"/>
      <c r="T409" s="1"/>
      <c r="U409" s="1"/>
    </row>
    <row r="410" spans="1:21" x14ac:dyDescent="0.3">
      <c r="A410" s="1"/>
      <c r="B410" s="23">
        <v>6</v>
      </c>
      <c r="C410" s="37" t="s">
        <v>216</v>
      </c>
      <c r="D410" s="25">
        <v>1</v>
      </c>
      <c r="E410" s="25">
        <v>1</v>
      </c>
      <c r="F410" s="25">
        <v>1</v>
      </c>
      <c r="G410" s="25">
        <v>1</v>
      </c>
      <c r="H410" s="25">
        <v>1</v>
      </c>
      <c r="I410" s="25">
        <v>0.94520000000000004</v>
      </c>
      <c r="J410" s="25">
        <v>1</v>
      </c>
      <c r="K410" s="25">
        <v>1</v>
      </c>
      <c r="L410" s="26">
        <v>0</v>
      </c>
      <c r="M410" s="26">
        <v>0.75</v>
      </c>
      <c r="N410" s="27">
        <v>0.96199999999999997</v>
      </c>
      <c r="O410" s="28">
        <v>0</v>
      </c>
      <c r="P410" s="27">
        <v>0.96199999999999997</v>
      </c>
      <c r="Q410" s="54"/>
      <c r="R410" s="52"/>
      <c r="S410" s="1"/>
      <c r="T410" s="1"/>
      <c r="U410" s="1"/>
    </row>
    <row r="411" spans="1:21" x14ac:dyDescent="0.3">
      <c r="A411" s="1"/>
      <c r="B411" s="59" t="s">
        <v>27</v>
      </c>
      <c r="C411" s="60"/>
      <c r="D411" s="31">
        <v>0.99</v>
      </c>
      <c r="E411" s="31">
        <v>1</v>
      </c>
      <c r="F411" s="31">
        <v>1</v>
      </c>
      <c r="G411" s="31">
        <v>0.99</v>
      </c>
      <c r="H411" s="31">
        <v>1</v>
      </c>
      <c r="I411" s="31">
        <v>0.99</v>
      </c>
      <c r="J411" s="31">
        <v>0.97</v>
      </c>
      <c r="K411" s="31">
        <v>0.75</v>
      </c>
      <c r="L411" s="31">
        <v>0</v>
      </c>
      <c r="M411" s="31">
        <v>0.88</v>
      </c>
      <c r="N411" s="31">
        <v>0.94</v>
      </c>
      <c r="O411" s="31">
        <v>0</v>
      </c>
      <c r="P411" s="31">
        <v>0.94</v>
      </c>
      <c r="Q411" s="54"/>
      <c r="R411" s="52"/>
      <c r="S411" s="1"/>
      <c r="T411" s="1"/>
      <c r="U411" s="1"/>
    </row>
    <row r="412" spans="1:2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52"/>
      <c r="R412" s="52"/>
      <c r="S412" s="1"/>
      <c r="T412" s="1"/>
      <c r="U412" s="1"/>
    </row>
    <row r="413" spans="1:2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52"/>
      <c r="R413" s="52"/>
      <c r="S413" s="1"/>
      <c r="T413" s="1"/>
      <c r="U413" s="1"/>
    </row>
    <row r="414" spans="1:2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52"/>
      <c r="R414" s="52"/>
      <c r="S414" s="1"/>
      <c r="T414" s="1"/>
      <c r="U414" s="1"/>
    </row>
    <row r="415" spans="1:21" ht="15.6" x14ac:dyDescent="0.3">
      <c r="A415" s="1"/>
      <c r="B415" s="3"/>
      <c r="C415" s="4" t="s">
        <v>217</v>
      </c>
      <c r="D415" s="3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5" t="s">
        <v>2</v>
      </c>
      <c r="Q415" s="54"/>
      <c r="R415" s="52"/>
      <c r="S415" s="1"/>
      <c r="T415" s="1"/>
      <c r="U415" s="1"/>
    </row>
    <row r="416" spans="1:21" ht="15.6" x14ac:dyDescent="0.3">
      <c r="A416" s="1"/>
      <c r="B416" s="3"/>
      <c r="C416" s="6">
        <v>46174</v>
      </c>
      <c r="D416" s="3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7">
        <v>0.98</v>
      </c>
      <c r="Q416" s="54"/>
      <c r="R416" s="52"/>
      <c r="S416" s="1"/>
      <c r="T416" s="1"/>
      <c r="U416" s="1"/>
    </row>
    <row r="417" spans="1:21" ht="42" x14ac:dyDescent="0.3">
      <c r="A417" s="1"/>
      <c r="B417" s="55" t="s">
        <v>3</v>
      </c>
      <c r="C417" s="55" t="s">
        <v>4</v>
      </c>
      <c r="D417" s="8" t="s">
        <v>5</v>
      </c>
      <c r="E417" s="8" t="s">
        <v>6</v>
      </c>
      <c r="F417" s="9" t="s">
        <v>7</v>
      </c>
      <c r="G417" s="9" t="s">
        <v>8</v>
      </c>
      <c r="H417" s="9" t="s">
        <v>9</v>
      </c>
      <c r="I417" s="10" t="s">
        <v>10</v>
      </c>
      <c r="J417" s="10" t="s">
        <v>11</v>
      </c>
      <c r="K417" s="11" t="s">
        <v>12</v>
      </c>
      <c r="L417" s="10" t="s">
        <v>13</v>
      </c>
      <c r="M417" s="11" t="s">
        <v>14</v>
      </c>
      <c r="N417" s="12" t="s">
        <v>15</v>
      </c>
      <c r="O417" s="57" t="s">
        <v>16</v>
      </c>
      <c r="P417" s="57" t="s">
        <v>17</v>
      </c>
      <c r="Q417" s="54"/>
      <c r="R417" s="52"/>
      <c r="S417" s="1"/>
      <c r="T417" s="1"/>
      <c r="U417" s="1"/>
    </row>
    <row r="418" spans="1:21" x14ac:dyDescent="0.3">
      <c r="A418" s="1"/>
      <c r="B418" s="56"/>
      <c r="C418" s="56"/>
      <c r="D418" s="13" t="s">
        <v>18</v>
      </c>
      <c r="E418" s="13" t="s">
        <v>18</v>
      </c>
      <c r="F418" s="13" t="s">
        <v>18</v>
      </c>
      <c r="G418" s="13" t="s">
        <v>18</v>
      </c>
      <c r="H418" s="13" t="s">
        <v>18</v>
      </c>
      <c r="I418" s="13" t="s">
        <v>18</v>
      </c>
      <c r="J418" s="13" t="s">
        <v>18</v>
      </c>
      <c r="K418" s="13" t="s">
        <v>18</v>
      </c>
      <c r="L418" s="13" t="s">
        <v>18</v>
      </c>
      <c r="M418" s="13" t="s">
        <v>18</v>
      </c>
      <c r="N418" s="14" t="s">
        <v>29</v>
      </c>
      <c r="O418" s="58"/>
      <c r="P418" s="58"/>
      <c r="Q418" s="54"/>
      <c r="R418" s="52"/>
      <c r="S418" s="1"/>
      <c r="T418" s="1"/>
      <c r="U418" s="1"/>
    </row>
    <row r="419" spans="1:21" x14ac:dyDescent="0.3">
      <c r="A419" s="1"/>
      <c r="B419" s="59" t="s">
        <v>20</v>
      </c>
      <c r="C419" s="60"/>
      <c r="D419" s="16">
        <v>0.1</v>
      </c>
      <c r="E419" s="16">
        <v>0.05</v>
      </c>
      <c r="F419" s="16">
        <v>0.1</v>
      </c>
      <c r="G419" s="16">
        <v>0.1</v>
      </c>
      <c r="H419" s="16">
        <v>0.05</v>
      </c>
      <c r="I419" s="17">
        <v>0.1</v>
      </c>
      <c r="J419" s="17">
        <v>0.35</v>
      </c>
      <c r="K419" s="17">
        <v>0.08</v>
      </c>
      <c r="L419" s="17">
        <v>0.02</v>
      </c>
      <c r="M419" s="17">
        <v>0.05</v>
      </c>
      <c r="N419" s="19">
        <v>1</v>
      </c>
      <c r="O419" s="20"/>
      <c r="P419" s="22"/>
      <c r="Q419" s="54"/>
      <c r="R419" s="52"/>
      <c r="S419" s="1"/>
      <c r="T419" s="1"/>
      <c r="U419" s="1"/>
    </row>
    <row r="420" spans="1:21" ht="18" x14ac:dyDescent="0.3">
      <c r="A420" s="1"/>
      <c r="B420" s="23">
        <v>1</v>
      </c>
      <c r="C420" s="30" t="s">
        <v>218</v>
      </c>
      <c r="D420" s="25">
        <v>1</v>
      </c>
      <c r="E420" s="25">
        <v>1</v>
      </c>
      <c r="F420" s="25">
        <v>1</v>
      </c>
      <c r="G420" s="25">
        <v>1</v>
      </c>
      <c r="H420" s="25">
        <v>1</v>
      </c>
      <c r="I420" s="25">
        <v>1</v>
      </c>
      <c r="J420" s="25">
        <v>1</v>
      </c>
      <c r="K420" s="25">
        <v>1</v>
      </c>
      <c r="L420" s="26">
        <v>1</v>
      </c>
      <c r="M420" s="26">
        <v>0</v>
      </c>
      <c r="N420" s="27">
        <v>1</v>
      </c>
      <c r="O420" s="28">
        <v>0</v>
      </c>
      <c r="P420" s="27">
        <v>1</v>
      </c>
      <c r="Q420" s="54"/>
      <c r="R420" s="52"/>
      <c r="S420" s="1"/>
      <c r="T420" s="1"/>
      <c r="U420" s="1"/>
    </row>
    <row r="421" spans="1:21" ht="18" x14ac:dyDescent="0.3">
      <c r="A421" s="1"/>
      <c r="B421" s="23">
        <v>2</v>
      </c>
      <c r="C421" s="30" t="s">
        <v>219</v>
      </c>
      <c r="D421" s="25">
        <v>1</v>
      </c>
      <c r="E421" s="25">
        <v>1</v>
      </c>
      <c r="F421" s="25">
        <v>1</v>
      </c>
      <c r="G421" s="25">
        <v>1</v>
      </c>
      <c r="H421" s="25">
        <v>1</v>
      </c>
      <c r="I421" s="25">
        <v>1</v>
      </c>
      <c r="J421" s="25">
        <v>1</v>
      </c>
      <c r="K421" s="25">
        <v>1</v>
      </c>
      <c r="L421" s="26">
        <v>1</v>
      </c>
      <c r="M421" s="26">
        <v>0</v>
      </c>
      <c r="N421" s="27">
        <v>1</v>
      </c>
      <c r="O421" s="28">
        <v>0</v>
      </c>
      <c r="P421" s="27">
        <v>1</v>
      </c>
      <c r="Q421" s="54"/>
      <c r="R421" s="52"/>
      <c r="S421" s="1"/>
      <c r="T421" s="1"/>
      <c r="U421" s="1"/>
    </row>
    <row r="422" spans="1:21" ht="18" x14ac:dyDescent="0.3">
      <c r="A422" s="1"/>
      <c r="B422" s="23">
        <v>3</v>
      </c>
      <c r="C422" s="30" t="s">
        <v>220</v>
      </c>
      <c r="D422" s="25">
        <v>1</v>
      </c>
      <c r="E422" s="25">
        <v>1</v>
      </c>
      <c r="F422" s="25">
        <v>1</v>
      </c>
      <c r="G422" s="25">
        <v>0.94259999999999999</v>
      </c>
      <c r="H422" s="25">
        <v>1</v>
      </c>
      <c r="I422" s="25">
        <v>0.99229999999999996</v>
      </c>
      <c r="J422" s="25">
        <v>1</v>
      </c>
      <c r="K422" s="25">
        <v>0.5</v>
      </c>
      <c r="L422" s="26">
        <v>0</v>
      </c>
      <c r="M422" s="26">
        <v>0</v>
      </c>
      <c r="N422" s="27">
        <v>0.93</v>
      </c>
      <c r="O422" s="28">
        <v>0</v>
      </c>
      <c r="P422" s="27">
        <v>0.93</v>
      </c>
      <c r="Q422" s="54"/>
      <c r="R422" s="52"/>
      <c r="S422" s="1"/>
      <c r="T422" s="1"/>
      <c r="U422" s="1"/>
    </row>
    <row r="423" spans="1:21" ht="18" x14ac:dyDescent="0.3">
      <c r="A423" s="1"/>
      <c r="B423" s="23">
        <v>4</v>
      </c>
      <c r="C423" s="30" t="s">
        <v>221</v>
      </c>
      <c r="D423" s="25">
        <v>1</v>
      </c>
      <c r="E423" s="25">
        <v>1</v>
      </c>
      <c r="F423" s="25">
        <v>1</v>
      </c>
      <c r="G423" s="25">
        <v>1</v>
      </c>
      <c r="H423" s="25">
        <v>1</v>
      </c>
      <c r="I423" s="25">
        <v>1</v>
      </c>
      <c r="J423" s="25">
        <v>1</v>
      </c>
      <c r="K423" s="25">
        <v>1</v>
      </c>
      <c r="L423" s="26">
        <v>0</v>
      </c>
      <c r="M423" s="26">
        <v>0</v>
      </c>
      <c r="N423" s="27">
        <v>0.97889999999999999</v>
      </c>
      <c r="O423" s="28">
        <v>0</v>
      </c>
      <c r="P423" s="27">
        <v>0.97889999999999999</v>
      </c>
      <c r="Q423" s="54"/>
      <c r="R423" s="52"/>
      <c r="S423" s="1"/>
      <c r="T423" s="1"/>
      <c r="U423" s="1"/>
    </row>
    <row r="424" spans="1:21" ht="18" x14ac:dyDescent="0.3">
      <c r="A424" s="1"/>
      <c r="B424" s="23">
        <v>5</v>
      </c>
      <c r="C424" s="30" t="s">
        <v>222</v>
      </c>
      <c r="D424" s="25">
        <v>1</v>
      </c>
      <c r="E424" s="25">
        <v>1</v>
      </c>
      <c r="F424" s="25">
        <v>1</v>
      </c>
      <c r="G424" s="25">
        <v>1</v>
      </c>
      <c r="H424" s="25">
        <v>1</v>
      </c>
      <c r="I424" s="25">
        <v>1</v>
      </c>
      <c r="J424" s="25">
        <v>1</v>
      </c>
      <c r="K424" s="25">
        <v>1</v>
      </c>
      <c r="L424" s="26">
        <v>0</v>
      </c>
      <c r="M424" s="26">
        <v>0</v>
      </c>
      <c r="N424" s="27">
        <v>0.97889999999999999</v>
      </c>
      <c r="O424" s="28">
        <v>0</v>
      </c>
      <c r="P424" s="27">
        <v>0.97889999999999999</v>
      </c>
      <c r="Q424" s="54"/>
      <c r="R424" s="52"/>
      <c r="S424" s="1"/>
      <c r="T424" s="1"/>
      <c r="U424" s="1"/>
    </row>
    <row r="425" spans="1:21" ht="18" x14ac:dyDescent="0.3">
      <c r="A425" s="1"/>
      <c r="B425" s="23">
        <v>6</v>
      </c>
      <c r="C425" s="30" t="s">
        <v>223</v>
      </c>
      <c r="D425" s="25">
        <v>1</v>
      </c>
      <c r="E425" s="25">
        <v>1</v>
      </c>
      <c r="F425" s="25">
        <v>1</v>
      </c>
      <c r="G425" s="25">
        <v>1</v>
      </c>
      <c r="H425" s="25">
        <v>1</v>
      </c>
      <c r="I425" s="25">
        <v>1</v>
      </c>
      <c r="J425" s="25">
        <v>1</v>
      </c>
      <c r="K425" s="25">
        <v>1</v>
      </c>
      <c r="L425" s="26">
        <v>0</v>
      </c>
      <c r="M425" s="26">
        <v>0</v>
      </c>
      <c r="N425" s="27">
        <v>0.97889999999999999</v>
      </c>
      <c r="O425" s="28">
        <v>0</v>
      </c>
      <c r="P425" s="27">
        <v>0.97889999999999999</v>
      </c>
      <c r="Q425" s="54"/>
      <c r="R425" s="52"/>
      <c r="S425" s="1"/>
      <c r="T425" s="1"/>
      <c r="U425" s="1"/>
    </row>
    <row r="426" spans="1:21" x14ac:dyDescent="0.3">
      <c r="A426" s="1"/>
      <c r="B426" s="59" t="s">
        <v>27</v>
      </c>
      <c r="C426" s="60"/>
      <c r="D426" s="31">
        <v>1</v>
      </c>
      <c r="E426" s="31">
        <v>1</v>
      </c>
      <c r="F426" s="31">
        <v>1</v>
      </c>
      <c r="G426" s="31">
        <v>0.99</v>
      </c>
      <c r="H426" s="31">
        <v>1</v>
      </c>
      <c r="I426" s="31">
        <v>1</v>
      </c>
      <c r="J426" s="31">
        <v>1</v>
      </c>
      <c r="K426" s="31">
        <v>0.92</v>
      </c>
      <c r="L426" s="31">
        <v>0.33</v>
      </c>
      <c r="M426" s="31">
        <v>0</v>
      </c>
      <c r="N426" s="31">
        <v>0.98</v>
      </c>
      <c r="O426" s="31">
        <v>0</v>
      </c>
      <c r="P426" s="31">
        <v>0.98</v>
      </c>
      <c r="Q426" s="54"/>
      <c r="R426" s="52"/>
      <c r="S426" s="1"/>
      <c r="T426" s="1"/>
      <c r="U426" s="1"/>
    </row>
    <row r="427" spans="1:2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52"/>
      <c r="R427" s="52"/>
      <c r="S427" s="1"/>
      <c r="T427" s="1"/>
      <c r="U427" s="1"/>
    </row>
    <row r="428" spans="1:2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52"/>
      <c r="R428" s="52"/>
      <c r="S428" s="1"/>
      <c r="T428" s="1"/>
      <c r="U428" s="1"/>
    </row>
    <row r="429" spans="1:21" ht="15.6" x14ac:dyDescent="0.3">
      <c r="A429" s="1"/>
      <c r="B429" s="3"/>
      <c r="C429" s="4" t="s">
        <v>224</v>
      </c>
      <c r="D429" s="3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5" t="s">
        <v>2</v>
      </c>
      <c r="Q429" s="54"/>
      <c r="R429" s="52"/>
      <c r="S429" s="1"/>
      <c r="T429" s="1"/>
      <c r="U429" s="1"/>
    </row>
    <row r="430" spans="1:21" ht="15.6" x14ac:dyDescent="0.3">
      <c r="A430" s="1"/>
      <c r="B430" s="3"/>
      <c r="C430" s="6">
        <v>46174</v>
      </c>
      <c r="D430" s="3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7">
        <v>0.91</v>
      </c>
      <c r="Q430" s="54"/>
      <c r="R430" s="52"/>
      <c r="S430" s="1"/>
      <c r="T430" s="1"/>
      <c r="U430" s="1"/>
    </row>
    <row r="431" spans="1:21" ht="42" x14ac:dyDescent="0.3">
      <c r="A431" s="1"/>
      <c r="B431" s="55" t="s">
        <v>3</v>
      </c>
      <c r="C431" s="55" t="s">
        <v>4</v>
      </c>
      <c r="D431" s="8" t="s">
        <v>5</v>
      </c>
      <c r="E431" s="8" t="s">
        <v>6</v>
      </c>
      <c r="F431" s="9" t="s">
        <v>7</v>
      </c>
      <c r="G431" s="9" t="s">
        <v>8</v>
      </c>
      <c r="H431" s="9" t="s">
        <v>9</v>
      </c>
      <c r="I431" s="10" t="s">
        <v>10</v>
      </c>
      <c r="J431" s="10" t="s">
        <v>11</v>
      </c>
      <c r="K431" s="11" t="s">
        <v>12</v>
      </c>
      <c r="L431" s="10" t="s">
        <v>13</v>
      </c>
      <c r="M431" s="11" t="s">
        <v>14</v>
      </c>
      <c r="N431" s="12" t="s">
        <v>15</v>
      </c>
      <c r="O431" s="57" t="s">
        <v>16</v>
      </c>
      <c r="P431" s="57" t="s">
        <v>17</v>
      </c>
      <c r="Q431" s="54"/>
      <c r="R431" s="52"/>
      <c r="S431" s="1"/>
      <c r="T431" s="1"/>
      <c r="U431" s="1"/>
    </row>
    <row r="432" spans="1:21" x14ac:dyDescent="0.3">
      <c r="A432" s="1"/>
      <c r="B432" s="56"/>
      <c r="C432" s="56"/>
      <c r="D432" s="13" t="s">
        <v>18</v>
      </c>
      <c r="E432" s="13" t="s">
        <v>18</v>
      </c>
      <c r="F432" s="13" t="s">
        <v>18</v>
      </c>
      <c r="G432" s="13" t="s">
        <v>18</v>
      </c>
      <c r="H432" s="13" t="s">
        <v>18</v>
      </c>
      <c r="I432" s="13" t="s">
        <v>18</v>
      </c>
      <c r="J432" s="13" t="s">
        <v>18</v>
      </c>
      <c r="K432" s="13" t="s">
        <v>18</v>
      </c>
      <c r="L432" s="13" t="s">
        <v>18</v>
      </c>
      <c r="M432" s="13" t="s">
        <v>18</v>
      </c>
      <c r="N432" s="14" t="s">
        <v>29</v>
      </c>
      <c r="O432" s="58"/>
      <c r="P432" s="58"/>
      <c r="Q432" s="54"/>
      <c r="R432" s="52"/>
      <c r="S432" s="1"/>
      <c r="T432" s="1"/>
      <c r="U432" s="1"/>
    </row>
    <row r="433" spans="1:21" x14ac:dyDescent="0.3">
      <c r="A433" s="1"/>
      <c r="B433" s="59" t="s">
        <v>20</v>
      </c>
      <c r="C433" s="60"/>
      <c r="D433" s="16">
        <v>0.1</v>
      </c>
      <c r="E433" s="16">
        <v>0.05</v>
      </c>
      <c r="F433" s="16">
        <v>0.1</v>
      </c>
      <c r="G433" s="16">
        <v>0.1</v>
      </c>
      <c r="H433" s="16">
        <v>0.05</v>
      </c>
      <c r="I433" s="17">
        <v>0.1</v>
      </c>
      <c r="J433" s="17">
        <v>0.35</v>
      </c>
      <c r="K433" s="17">
        <v>0.08</v>
      </c>
      <c r="L433" s="17">
        <v>0.02</v>
      </c>
      <c r="M433" s="17">
        <v>0.05</v>
      </c>
      <c r="N433" s="19">
        <v>1</v>
      </c>
      <c r="O433" s="20"/>
      <c r="P433" s="22"/>
      <c r="Q433" s="54"/>
      <c r="R433" s="52"/>
      <c r="S433" s="1"/>
      <c r="T433" s="1"/>
      <c r="U433" s="1"/>
    </row>
    <row r="434" spans="1:21" ht="18" x14ac:dyDescent="0.3">
      <c r="A434" s="1"/>
      <c r="B434" s="23">
        <v>1</v>
      </c>
      <c r="C434" s="24" t="s">
        <v>225</v>
      </c>
      <c r="D434" s="25">
        <v>1</v>
      </c>
      <c r="E434" s="25">
        <v>1</v>
      </c>
      <c r="F434" s="25">
        <v>1</v>
      </c>
      <c r="G434" s="25">
        <v>1</v>
      </c>
      <c r="H434" s="25">
        <v>1</v>
      </c>
      <c r="I434" s="25">
        <v>1</v>
      </c>
      <c r="J434" s="25">
        <v>0.8</v>
      </c>
      <c r="K434" s="25">
        <v>1</v>
      </c>
      <c r="L434" s="26">
        <v>0</v>
      </c>
      <c r="M434" s="26">
        <v>1</v>
      </c>
      <c r="N434" s="27">
        <v>0.91</v>
      </c>
      <c r="O434" s="28">
        <v>0</v>
      </c>
      <c r="P434" s="27">
        <v>0.91</v>
      </c>
      <c r="Q434" s="54"/>
      <c r="R434" s="52"/>
      <c r="S434" s="1"/>
      <c r="T434" s="1"/>
      <c r="U434" s="1"/>
    </row>
    <row r="435" spans="1:21" ht="18" x14ac:dyDescent="0.3">
      <c r="A435" s="1"/>
      <c r="B435" s="23">
        <v>2</v>
      </c>
      <c r="C435" s="24" t="s">
        <v>226</v>
      </c>
      <c r="D435" s="25">
        <v>1</v>
      </c>
      <c r="E435" s="25">
        <v>1</v>
      </c>
      <c r="F435" s="25">
        <v>1</v>
      </c>
      <c r="G435" s="25">
        <v>0.98960000000000004</v>
      </c>
      <c r="H435" s="25">
        <v>0</v>
      </c>
      <c r="I435" s="25">
        <v>0.99560000000000004</v>
      </c>
      <c r="J435" s="25">
        <v>0.8</v>
      </c>
      <c r="K435" s="25">
        <v>1</v>
      </c>
      <c r="L435" s="26">
        <v>0</v>
      </c>
      <c r="M435" s="26">
        <v>1</v>
      </c>
      <c r="N435" s="27">
        <v>0.85850000000000004</v>
      </c>
      <c r="O435" s="28">
        <v>0</v>
      </c>
      <c r="P435" s="27">
        <v>0.85850000000000004</v>
      </c>
      <c r="Q435" s="54"/>
      <c r="R435" s="52"/>
      <c r="S435" s="1"/>
      <c r="T435" s="1"/>
      <c r="U435" s="1"/>
    </row>
    <row r="436" spans="1:21" ht="18" x14ac:dyDescent="0.3">
      <c r="A436" s="1"/>
      <c r="B436" s="23">
        <v>3</v>
      </c>
      <c r="C436" s="24" t="s">
        <v>227</v>
      </c>
      <c r="D436" s="25">
        <v>1</v>
      </c>
      <c r="E436" s="25">
        <v>1</v>
      </c>
      <c r="F436" s="25">
        <v>1</v>
      </c>
      <c r="G436" s="25">
        <v>1</v>
      </c>
      <c r="H436" s="25">
        <v>1</v>
      </c>
      <c r="I436" s="25">
        <v>0.99450000000000005</v>
      </c>
      <c r="J436" s="25">
        <v>0.8</v>
      </c>
      <c r="K436" s="25">
        <v>1</v>
      </c>
      <c r="L436" s="26">
        <v>0</v>
      </c>
      <c r="M436" s="26">
        <v>1</v>
      </c>
      <c r="N436" s="27">
        <v>0.90949999999999998</v>
      </c>
      <c r="O436" s="28">
        <v>0</v>
      </c>
      <c r="P436" s="27">
        <v>0.90949999999999998</v>
      </c>
      <c r="Q436" s="54"/>
      <c r="R436" s="52"/>
      <c r="S436" s="1"/>
      <c r="T436" s="1"/>
      <c r="U436" s="1"/>
    </row>
    <row r="437" spans="1:21" ht="18" x14ac:dyDescent="0.3">
      <c r="A437" s="1"/>
      <c r="B437" s="23">
        <v>4</v>
      </c>
      <c r="C437" s="24" t="s">
        <v>228</v>
      </c>
      <c r="D437" s="25">
        <v>1</v>
      </c>
      <c r="E437" s="25">
        <v>1</v>
      </c>
      <c r="F437" s="25">
        <v>1</v>
      </c>
      <c r="G437" s="25">
        <v>1</v>
      </c>
      <c r="H437" s="25">
        <v>1</v>
      </c>
      <c r="I437" s="25">
        <v>0.99790000000000001</v>
      </c>
      <c r="J437" s="25">
        <v>1</v>
      </c>
      <c r="K437" s="25">
        <v>0.5</v>
      </c>
      <c r="L437" s="26">
        <v>0</v>
      </c>
      <c r="M437" s="26">
        <v>0.75</v>
      </c>
      <c r="N437" s="27">
        <v>0.92730000000000001</v>
      </c>
      <c r="O437" s="28">
        <v>0</v>
      </c>
      <c r="P437" s="27">
        <v>0.92730000000000001</v>
      </c>
      <c r="Q437" s="54"/>
      <c r="R437" s="52"/>
      <c r="S437" s="1"/>
      <c r="T437" s="1"/>
      <c r="U437" s="1"/>
    </row>
    <row r="438" spans="1:21" ht="18" x14ac:dyDescent="0.3">
      <c r="A438" s="1"/>
      <c r="B438" s="23">
        <v>5</v>
      </c>
      <c r="C438" s="24" t="s">
        <v>229</v>
      </c>
      <c r="D438" s="25">
        <v>1</v>
      </c>
      <c r="E438" s="25">
        <v>1</v>
      </c>
      <c r="F438" s="25">
        <v>1</v>
      </c>
      <c r="G438" s="25">
        <v>1</v>
      </c>
      <c r="H438" s="25">
        <v>1</v>
      </c>
      <c r="I438" s="25">
        <v>0.99829999999999997</v>
      </c>
      <c r="J438" s="25">
        <v>1</v>
      </c>
      <c r="K438" s="25">
        <v>1</v>
      </c>
      <c r="L438" s="26">
        <v>0</v>
      </c>
      <c r="M438" s="26">
        <v>0.75</v>
      </c>
      <c r="N438" s="27">
        <v>0.96730000000000005</v>
      </c>
      <c r="O438" s="28">
        <v>0</v>
      </c>
      <c r="P438" s="27">
        <v>0.96730000000000005</v>
      </c>
      <c r="Q438" s="54"/>
      <c r="R438" s="52"/>
      <c r="S438" s="1"/>
      <c r="T438" s="1"/>
      <c r="U438" s="1"/>
    </row>
    <row r="439" spans="1:21" x14ac:dyDescent="0.3">
      <c r="A439" s="1"/>
      <c r="B439" s="59" t="s">
        <v>27</v>
      </c>
      <c r="C439" s="60"/>
      <c r="D439" s="31">
        <v>1</v>
      </c>
      <c r="E439" s="31">
        <v>1</v>
      </c>
      <c r="F439" s="31">
        <v>1</v>
      </c>
      <c r="G439" s="31">
        <v>1</v>
      </c>
      <c r="H439" s="31">
        <v>0.8</v>
      </c>
      <c r="I439" s="31">
        <v>1</v>
      </c>
      <c r="J439" s="31">
        <v>0.88</v>
      </c>
      <c r="K439" s="31">
        <v>0.9</v>
      </c>
      <c r="L439" s="31">
        <v>0</v>
      </c>
      <c r="M439" s="31">
        <v>0.9</v>
      </c>
      <c r="N439" s="31">
        <v>0.91</v>
      </c>
      <c r="O439" s="31">
        <v>0</v>
      </c>
      <c r="P439" s="31">
        <v>0.91</v>
      </c>
      <c r="Q439" s="54"/>
      <c r="R439" s="52"/>
      <c r="S439" s="1"/>
      <c r="T439" s="1"/>
      <c r="U439" s="1"/>
    </row>
    <row r="440" spans="1:2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52"/>
      <c r="R440" s="52"/>
      <c r="S440" s="1"/>
      <c r="T440" s="1"/>
      <c r="U440" s="1"/>
    </row>
    <row r="441" spans="1:2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52"/>
      <c r="R441" s="52"/>
      <c r="S441" s="1"/>
      <c r="T441" s="1"/>
      <c r="U441" s="1"/>
    </row>
    <row r="442" spans="1:2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52"/>
      <c r="R442" s="52"/>
      <c r="S442" s="1"/>
      <c r="T442" s="1"/>
      <c r="U442" s="1"/>
    </row>
    <row r="443" spans="1:21" ht="15.6" x14ac:dyDescent="0.3">
      <c r="A443" s="1"/>
      <c r="B443" s="3"/>
      <c r="C443" s="4" t="s">
        <v>230</v>
      </c>
      <c r="D443" s="3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5" t="s">
        <v>2</v>
      </c>
      <c r="Q443" s="54"/>
      <c r="R443" s="52"/>
      <c r="S443" s="1"/>
      <c r="T443" s="1"/>
      <c r="U443" s="1"/>
    </row>
    <row r="444" spans="1:21" ht="15.6" x14ac:dyDescent="0.3">
      <c r="A444" s="1"/>
      <c r="B444" s="3"/>
      <c r="C444" s="6">
        <v>46174</v>
      </c>
      <c r="D444" s="3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7">
        <v>0.93</v>
      </c>
      <c r="Q444" s="54"/>
      <c r="R444" s="52"/>
      <c r="S444" s="1"/>
      <c r="T444" s="1"/>
      <c r="U444" s="1"/>
    </row>
    <row r="445" spans="1:21" ht="42" x14ac:dyDescent="0.3">
      <c r="A445" s="1"/>
      <c r="B445" s="55" t="s">
        <v>3</v>
      </c>
      <c r="C445" s="55" t="s">
        <v>4</v>
      </c>
      <c r="D445" s="8" t="s">
        <v>5</v>
      </c>
      <c r="E445" s="8" t="s">
        <v>6</v>
      </c>
      <c r="F445" s="9" t="s">
        <v>7</v>
      </c>
      <c r="G445" s="9" t="s">
        <v>8</v>
      </c>
      <c r="H445" s="9" t="s">
        <v>9</v>
      </c>
      <c r="I445" s="10" t="s">
        <v>10</v>
      </c>
      <c r="J445" s="10" t="s">
        <v>11</v>
      </c>
      <c r="K445" s="11" t="s">
        <v>12</v>
      </c>
      <c r="L445" s="10" t="s">
        <v>13</v>
      </c>
      <c r="M445" s="11" t="s">
        <v>14</v>
      </c>
      <c r="N445" s="12" t="s">
        <v>15</v>
      </c>
      <c r="O445" s="57" t="s">
        <v>16</v>
      </c>
      <c r="P445" s="57" t="s">
        <v>17</v>
      </c>
      <c r="Q445" s="54"/>
      <c r="R445" s="52"/>
      <c r="S445" s="1"/>
      <c r="T445" s="1"/>
      <c r="U445" s="1"/>
    </row>
    <row r="446" spans="1:21" x14ac:dyDescent="0.3">
      <c r="A446" s="1"/>
      <c r="B446" s="56"/>
      <c r="C446" s="56"/>
      <c r="D446" s="13" t="s">
        <v>18</v>
      </c>
      <c r="E446" s="13" t="s">
        <v>18</v>
      </c>
      <c r="F446" s="13" t="s">
        <v>18</v>
      </c>
      <c r="G446" s="13" t="s">
        <v>18</v>
      </c>
      <c r="H446" s="13" t="s">
        <v>18</v>
      </c>
      <c r="I446" s="13" t="s">
        <v>18</v>
      </c>
      <c r="J446" s="13" t="s">
        <v>18</v>
      </c>
      <c r="K446" s="13" t="s">
        <v>18</v>
      </c>
      <c r="L446" s="13" t="s">
        <v>18</v>
      </c>
      <c r="M446" s="13" t="s">
        <v>18</v>
      </c>
      <c r="N446" s="14" t="s">
        <v>29</v>
      </c>
      <c r="O446" s="58"/>
      <c r="P446" s="58"/>
      <c r="Q446" s="54"/>
      <c r="R446" s="52"/>
      <c r="S446" s="1"/>
      <c r="T446" s="1"/>
      <c r="U446" s="1"/>
    </row>
    <row r="447" spans="1:21" x14ac:dyDescent="0.3">
      <c r="A447" s="1"/>
      <c r="B447" s="59" t="s">
        <v>20</v>
      </c>
      <c r="C447" s="60"/>
      <c r="D447" s="16">
        <v>0.1</v>
      </c>
      <c r="E447" s="16">
        <v>0.05</v>
      </c>
      <c r="F447" s="16">
        <v>0.1</v>
      </c>
      <c r="G447" s="16">
        <v>0.1</v>
      </c>
      <c r="H447" s="16">
        <v>0.05</v>
      </c>
      <c r="I447" s="17">
        <v>0.1</v>
      </c>
      <c r="J447" s="17">
        <v>0.35</v>
      </c>
      <c r="K447" s="17">
        <v>0.08</v>
      </c>
      <c r="L447" s="17">
        <v>0.02</v>
      </c>
      <c r="M447" s="17">
        <v>0.05</v>
      </c>
      <c r="N447" s="19">
        <v>1</v>
      </c>
      <c r="O447" s="20"/>
      <c r="P447" s="22"/>
      <c r="Q447" s="54"/>
      <c r="R447" s="52"/>
      <c r="S447" s="1"/>
      <c r="T447" s="1"/>
      <c r="U447" s="1"/>
    </row>
    <row r="448" spans="1:21" ht="18" x14ac:dyDescent="0.3">
      <c r="A448" s="1"/>
      <c r="B448" s="23">
        <v>1</v>
      </c>
      <c r="C448" s="24" t="s">
        <v>231</v>
      </c>
      <c r="D448" s="25">
        <v>1</v>
      </c>
      <c r="E448" s="25">
        <v>1</v>
      </c>
      <c r="F448" s="25">
        <v>1</v>
      </c>
      <c r="G448" s="25">
        <v>1</v>
      </c>
      <c r="H448" s="25">
        <v>1</v>
      </c>
      <c r="I448" s="25">
        <v>1</v>
      </c>
      <c r="J448" s="25">
        <v>1</v>
      </c>
      <c r="K448" s="25">
        <v>0.5</v>
      </c>
      <c r="L448" s="26">
        <v>0</v>
      </c>
      <c r="M448" s="26">
        <v>1</v>
      </c>
      <c r="N448" s="27">
        <v>0.94</v>
      </c>
      <c r="O448" s="28">
        <v>0</v>
      </c>
      <c r="P448" s="27">
        <v>0.94</v>
      </c>
      <c r="Q448" s="54"/>
      <c r="R448" s="52"/>
      <c r="S448" s="1"/>
      <c r="T448" s="1"/>
      <c r="U448" s="1"/>
    </row>
    <row r="449" spans="1:21" ht="18" x14ac:dyDescent="0.3">
      <c r="A449" s="1"/>
      <c r="B449" s="23">
        <v>2</v>
      </c>
      <c r="C449" s="24" t="s">
        <v>232</v>
      </c>
      <c r="D449" s="25">
        <v>0.98</v>
      </c>
      <c r="E449" s="25">
        <v>1</v>
      </c>
      <c r="F449" s="25">
        <v>1</v>
      </c>
      <c r="G449" s="25">
        <v>0.86809999999999998</v>
      </c>
      <c r="H449" s="25">
        <v>1</v>
      </c>
      <c r="I449" s="25">
        <v>0.91879999999999995</v>
      </c>
      <c r="J449" s="25">
        <v>1</v>
      </c>
      <c r="K449" s="25">
        <v>0.5</v>
      </c>
      <c r="L449" s="26">
        <v>0</v>
      </c>
      <c r="M449" s="26">
        <v>0.5</v>
      </c>
      <c r="N449" s="27">
        <v>0.89170000000000005</v>
      </c>
      <c r="O449" s="28">
        <v>0</v>
      </c>
      <c r="P449" s="27">
        <v>0.89170000000000005</v>
      </c>
      <c r="Q449" s="54"/>
      <c r="R449" s="52"/>
      <c r="S449" s="1"/>
      <c r="T449" s="1"/>
      <c r="U449" s="1"/>
    </row>
    <row r="450" spans="1:21" ht="18" x14ac:dyDescent="0.3">
      <c r="A450" s="1"/>
      <c r="B450" s="23">
        <v>3</v>
      </c>
      <c r="C450" s="24" t="s">
        <v>233</v>
      </c>
      <c r="D450" s="25">
        <v>1</v>
      </c>
      <c r="E450" s="25">
        <v>1</v>
      </c>
      <c r="F450" s="25">
        <v>1</v>
      </c>
      <c r="G450" s="25">
        <v>1</v>
      </c>
      <c r="H450" s="25">
        <v>1</v>
      </c>
      <c r="I450" s="25">
        <v>1</v>
      </c>
      <c r="J450" s="25">
        <v>0.8</v>
      </c>
      <c r="K450" s="25">
        <v>1</v>
      </c>
      <c r="L450" s="26">
        <v>0</v>
      </c>
      <c r="M450" s="26">
        <v>0.5</v>
      </c>
      <c r="N450" s="27">
        <v>0.88500000000000001</v>
      </c>
      <c r="O450" s="28">
        <v>0</v>
      </c>
      <c r="P450" s="27">
        <v>0.88500000000000001</v>
      </c>
      <c r="Q450" s="54"/>
      <c r="R450" s="52"/>
      <c r="S450" s="1"/>
      <c r="T450" s="1"/>
      <c r="U450" s="1"/>
    </row>
    <row r="451" spans="1:21" ht="18" x14ac:dyDescent="0.3">
      <c r="A451" s="1"/>
      <c r="B451" s="23">
        <v>4</v>
      </c>
      <c r="C451" s="24" t="s">
        <v>234</v>
      </c>
      <c r="D451" s="25">
        <v>1</v>
      </c>
      <c r="E451" s="25">
        <v>1</v>
      </c>
      <c r="F451" s="25">
        <v>1</v>
      </c>
      <c r="G451" s="25">
        <v>1</v>
      </c>
      <c r="H451" s="25">
        <v>1</v>
      </c>
      <c r="I451" s="25">
        <v>1</v>
      </c>
      <c r="J451" s="25">
        <v>1</v>
      </c>
      <c r="K451" s="25">
        <v>1</v>
      </c>
      <c r="L451" s="26">
        <v>0</v>
      </c>
      <c r="M451" s="26">
        <v>1</v>
      </c>
      <c r="N451" s="27">
        <v>0.98</v>
      </c>
      <c r="O451" s="28">
        <v>0</v>
      </c>
      <c r="P451" s="27">
        <v>0.98</v>
      </c>
      <c r="Q451" s="54"/>
      <c r="R451" s="52"/>
      <c r="S451" s="1"/>
      <c r="T451" s="1"/>
      <c r="U451" s="1"/>
    </row>
    <row r="452" spans="1:21" ht="90" x14ac:dyDescent="0.3">
      <c r="A452" s="1"/>
      <c r="B452" s="23">
        <v>5</v>
      </c>
      <c r="C452" s="33" t="s">
        <v>235</v>
      </c>
      <c r="D452" s="25">
        <v>1</v>
      </c>
      <c r="E452" s="25">
        <v>1</v>
      </c>
      <c r="F452" s="25">
        <v>1</v>
      </c>
      <c r="G452" s="25">
        <v>1</v>
      </c>
      <c r="H452" s="25">
        <v>1</v>
      </c>
      <c r="I452" s="25">
        <v>1</v>
      </c>
      <c r="J452" s="25">
        <v>1</v>
      </c>
      <c r="K452" s="25">
        <v>1</v>
      </c>
      <c r="L452" s="26">
        <v>1</v>
      </c>
      <c r="M452" s="26">
        <v>0</v>
      </c>
      <c r="N452" s="27">
        <v>0.95</v>
      </c>
      <c r="O452" s="28">
        <v>0</v>
      </c>
      <c r="P452" s="27">
        <v>0.95</v>
      </c>
      <c r="Q452" s="54"/>
      <c r="R452" s="52"/>
      <c r="S452" s="1"/>
      <c r="T452" s="1"/>
      <c r="U452" s="1"/>
    </row>
    <row r="453" spans="1:21" x14ac:dyDescent="0.3">
      <c r="A453" s="1"/>
      <c r="B453" s="59" t="s">
        <v>27</v>
      </c>
      <c r="C453" s="60"/>
      <c r="D453" s="31">
        <v>1</v>
      </c>
      <c r="E453" s="31">
        <v>1</v>
      </c>
      <c r="F453" s="31">
        <v>1</v>
      </c>
      <c r="G453" s="31">
        <v>0.97</v>
      </c>
      <c r="H453" s="31">
        <v>1</v>
      </c>
      <c r="I453" s="31">
        <v>0.98</v>
      </c>
      <c r="J453" s="31">
        <v>0.96</v>
      </c>
      <c r="K453" s="31">
        <v>0.8</v>
      </c>
      <c r="L453" s="31">
        <v>0.2</v>
      </c>
      <c r="M453" s="31">
        <v>0.6</v>
      </c>
      <c r="N453" s="31">
        <v>0.93</v>
      </c>
      <c r="O453" s="31">
        <v>0</v>
      </c>
      <c r="P453" s="31">
        <v>0.93</v>
      </c>
      <c r="Q453" s="54"/>
      <c r="R453" s="52"/>
      <c r="S453" s="1"/>
      <c r="T453" s="1"/>
      <c r="U453" s="1"/>
    </row>
    <row r="454" spans="1:2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52"/>
      <c r="R454" s="52"/>
      <c r="S454" s="1"/>
      <c r="T454" s="1"/>
      <c r="U454" s="1"/>
    </row>
    <row r="455" spans="1:2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52"/>
      <c r="R455" s="52"/>
      <c r="S455" s="1"/>
      <c r="T455" s="1"/>
      <c r="U455" s="1"/>
    </row>
    <row r="456" spans="1:2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52"/>
      <c r="R456" s="52"/>
      <c r="S456" s="1"/>
      <c r="T456" s="1"/>
      <c r="U456" s="1"/>
    </row>
    <row r="457" spans="1:21" ht="15.6" x14ac:dyDescent="0.3">
      <c r="A457" s="1"/>
      <c r="B457" s="3"/>
      <c r="C457" s="4" t="s">
        <v>236</v>
      </c>
      <c r="D457" s="3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5" t="s">
        <v>2</v>
      </c>
      <c r="Q457" s="54"/>
      <c r="R457" s="52"/>
      <c r="S457" s="1"/>
      <c r="T457" s="1"/>
      <c r="U457" s="1"/>
    </row>
    <row r="458" spans="1:21" ht="15.6" x14ac:dyDescent="0.3">
      <c r="A458" s="1"/>
      <c r="B458" s="3"/>
      <c r="C458" s="6">
        <v>46174</v>
      </c>
      <c r="D458" s="3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7">
        <v>0.95</v>
      </c>
      <c r="Q458" s="54"/>
      <c r="R458" s="52"/>
      <c r="S458" s="1"/>
      <c r="T458" s="1"/>
      <c r="U458" s="1"/>
    </row>
    <row r="459" spans="1:21" ht="42" x14ac:dyDescent="0.3">
      <c r="A459" s="1"/>
      <c r="B459" s="55" t="s">
        <v>3</v>
      </c>
      <c r="C459" s="55" t="s">
        <v>4</v>
      </c>
      <c r="D459" s="8" t="s">
        <v>5</v>
      </c>
      <c r="E459" s="8" t="s">
        <v>6</v>
      </c>
      <c r="F459" s="9" t="s">
        <v>7</v>
      </c>
      <c r="G459" s="9" t="s">
        <v>8</v>
      </c>
      <c r="H459" s="9" t="s">
        <v>9</v>
      </c>
      <c r="I459" s="10" t="s">
        <v>10</v>
      </c>
      <c r="J459" s="10" t="s">
        <v>11</v>
      </c>
      <c r="K459" s="11" t="s">
        <v>12</v>
      </c>
      <c r="L459" s="10" t="s">
        <v>13</v>
      </c>
      <c r="M459" s="11" t="s">
        <v>14</v>
      </c>
      <c r="N459" s="12" t="s">
        <v>15</v>
      </c>
      <c r="O459" s="57" t="s">
        <v>16</v>
      </c>
      <c r="P459" s="57" t="s">
        <v>17</v>
      </c>
      <c r="Q459" s="54"/>
      <c r="R459" s="52"/>
      <c r="S459" s="1"/>
      <c r="T459" s="1"/>
      <c r="U459" s="1"/>
    </row>
    <row r="460" spans="1:21" x14ac:dyDescent="0.3">
      <c r="A460" s="1"/>
      <c r="B460" s="56"/>
      <c r="C460" s="56"/>
      <c r="D460" s="13" t="s">
        <v>18</v>
      </c>
      <c r="E460" s="13" t="s">
        <v>18</v>
      </c>
      <c r="F460" s="13" t="s">
        <v>18</v>
      </c>
      <c r="G460" s="13" t="s">
        <v>18</v>
      </c>
      <c r="H460" s="13" t="s">
        <v>18</v>
      </c>
      <c r="I460" s="13" t="s">
        <v>18</v>
      </c>
      <c r="J460" s="13" t="s">
        <v>18</v>
      </c>
      <c r="K460" s="13" t="s">
        <v>18</v>
      </c>
      <c r="L460" s="13" t="s">
        <v>18</v>
      </c>
      <c r="M460" s="13" t="s">
        <v>18</v>
      </c>
      <c r="N460" s="14" t="s">
        <v>29</v>
      </c>
      <c r="O460" s="58"/>
      <c r="P460" s="58"/>
      <c r="Q460" s="54"/>
      <c r="R460" s="52"/>
      <c r="S460" s="1"/>
      <c r="T460" s="1"/>
      <c r="U460" s="1"/>
    </row>
    <row r="461" spans="1:21" x14ac:dyDescent="0.3">
      <c r="A461" s="1"/>
      <c r="B461" s="59" t="s">
        <v>20</v>
      </c>
      <c r="C461" s="60"/>
      <c r="D461" s="16">
        <v>0.1</v>
      </c>
      <c r="E461" s="16">
        <v>0.05</v>
      </c>
      <c r="F461" s="16">
        <v>0.1</v>
      </c>
      <c r="G461" s="16">
        <v>0.1</v>
      </c>
      <c r="H461" s="16">
        <v>0.05</v>
      </c>
      <c r="I461" s="17">
        <v>0.1</v>
      </c>
      <c r="J461" s="17">
        <v>0.35</v>
      </c>
      <c r="K461" s="17">
        <v>0.08</v>
      </c>
      <c r="L461" s="17">
        <v>0.02</v>
      </c>
      <c r="M461" s="17">
        <v>0.05</v>
      </c>
      <c r="N461" s="19">
        <v>1</v>
      </c>
      <c r="O461" s="20"/>
      <c r="P461" s="22"/>
      <c r="Q461" s="54"/>
      <c r="R461" s="52"/>
      <c r="S461" s="1"/>
      <c r="T461" s="1"/>
      <c r="U461" s="1"/>
    </row>
    <row r="462" spans="1:21" x14ac:dyDescent="0.3">
      <c r="A462" s="1"/>
      <c r="B462" s="23">
        <v>1</v>
      </c>
      <c r="C462" s="37" t="s">
        <v>237</v>
      </c>
      <c r="D462" s="25">
        <v>1</v>
      </c>
      <c r="E462" s="25">
        <v>1</v>
      </c>
      <c r="F462" s="25">
        <v>1</v>
      </c>
      <c r="G462" s="25">
        <v>1</v>
      </c>
      <c r="H462" s="25">
        <v>1</v>
      </c>
      <c r="I462" s="25">
        <v>0.98</v>
      </c>
      <c r="J462" s="25">
        <v>1</v>
      </c>
      <c r="K462" s="25">
        <v>1</v>
      </c>
      <c r="L462" s="26">
        <v>0</v>
      </c>
      <c r="M462" s="26">
        <v>1</v>
      </c>
      <c r="N462" s="27">
        <v>0.97799999999999998</v>
      </c>
      <c r="O462" s="28">
        <v>0</v>
      </c>
      <c r="P462" s="27">
        <v>0.97799999999999998</v>
      </c>
      <c r="Q462" s="54"/>
      <c r="R462" s="52"/>
      <c r="S462" s="1"/>
      <c r="T462" s="1"/>
      <c r="U462" s="1"/>
    </row>
    <row r="463" spans="1:21" x14ac:dyDescent="0.3">
      <c r="A463" s="1"/>
      <c r="B463" s="23">
        <v>2</v>
      </c>
      <c r="C463" s="37" t="s">
        <v>238</v>
      </c>
      <c r="D463" s="25">
        <v>1</v>
      </c>
      <c r="E463" s="25">
        <v>1</v>
      </c>
      <c r="F463" s="25">
        <v>1</v>
      </c>
      <c r="G463" s="25">
        <v>1</v>
      </c>
      <c r="H463" s="25">
        <v>1</v>
      </c>
      <c r="I463" s="25">
        <v>1</v>
      </c>
      <c r="J463" s="25">
        <v>0.8</v>
      </c>
      <c r="K463" s="25">
        <v>1</v>
      </c>
      <c r="L463" s="26">
        <v>1</v>
      </c>
      <c r="M463" s="26">
        <v>1</v>
      </c>
      <c r="N463" s="27">
        <v>0.93</v>
      </c>
      <c r="O463" s="28">
        <v>0</v>
      </c>
      <c r="P463" s="27">
        <v>0.93</v>
      </c>
      <c r="Q463" s="54"/>
      <c r="R463" s="52"/>
      <c r="S463" s="1"/>
      <c r="T463" s="1"/>
      <c r="U463" s="1"/>
    </row>
    <row r="464" spans="1:21" x14ac:dyDescent="0.3">
      <c r="A464" s="1"/>
      <c r="B464" s="23">
        <v>3</v>
      </c>
      <c r="C464" s="37" t="s">
        <v>239</v>
      </c>
      <c r="D464" s="25">
        <v>1</v>
      </c>
      <c r="E464" s="25">
        <v>1</v>
      </c>
      <c r="F464" s="25">
        <v>1</v>
      </c>
      <c r="G464" s="25">
        <v>0.86150000000000004</v>
      </c>
      <c r="H464" s="25">
        <v>0</v>
      </c>
      <c r="I464" s="25">
        <v>0.99590000000000001</v>
      </c>
      <c r="J464" s="25">
        <v>1</v>
      </c>
      <c r="K464" s="25">
        <v>1</v>
      </c>
      <c r="L464" s="26">
        <v>1</v>
      </c>
      <c r="M464" s="26">
        <v>1</v>
      </c>
      <c r="N464" s="27">
        <v>0.93569999999999998</v>
      </c>
      <c r="O464" s="28">
        <v>0</v>
      </c>
      <c r="P464" s="27">
        <v>0.93569999999999998</v>
      </c>
      <c r="Q464" s="54"/>
      <c r="R464" s="52"/>
      <c r="S464" s="1"/>
      <c r="T464" s="1"/>
      <c r="U464" s="1"/>
    </row>
    <row r="465" spans="1:21" x14ac:dyDescent="0.3">
      <c r="A465" s="1"/>
      <c r="B465" s="23">
        <v>4</v>
      </c>
      <c r="C465" s="37" t="s">
        <v>240</v>
      </c>
      <c r="D465" s="25">
        <v>1</v>
      </c>
      <c r="E465" s="25">
        <v>1</v>
      </c>
      <c r="F465" s="25">
        <v>1</v>
      </c>
      <c r="G465" s="25">
        <v>1</v>
      </c>
      <c r="H465" s="25">
        <v>1</v>
      </c>
      <c r="I465" s="25">
        <v>0.99590000000000001</v>
      </c>
      <c r="J465" s="25">
        <v>1</v>
      </c>
      <c r="K465" s="25">
        <v>1</v>
      </c>
      <c r="L465" s="26">
        <v>0</v>
      </c>
      <c r="M465" s="26">
        <v>1</v>
      </c>
      <c r="N465" s="27">
        <v>0.97960000000000003</v>
      </c>
      <c r="O465" s="28">
        <v>0</v>
      </c>
      <c r="P465" s="27">
        <v>0.97960000000000003</v>
      </c>
      <c r="Q465" s="54"/>
      <c r="R465" s="52"/>
      <c r="S465" s="1"/>
      <c r="T465" s="1"/>
      <c r="U465" s="1"/>
    </row>
    <row r="466" spans="1:21" x14ac:dyDescent="0.3">
      <c r="A466" s="1"/>
      <c r="B466" s="23">
        <v>5</v>
      </c>
      <c r="C466" s="37" t="s">
        <v>241</v>
      </c>
      <c r="D466" s="25">
        <v>1</v>
      </c>
      <c r="E466" s="25">
        <v>1</v>
      </c>
      <c r="F466" s="25">
        <v>1</v>
      </c>
      <c r="G466" s="25">
        <v>0.997</v>
      </c>
      <c r="H466" s="25">
        <v>1</v>
      </c>
      <c r="I466" s="25">
        <v>1</v>
      </c>
      <c r="J466" s="25">
        <v>0.8</v>
      </c>
      <c r="K466" s="25">
        <v>1</v>
      </c>
      <c r="L466" s="26">
        <v>0</v>
      </c>
      <c r="M466" s="26">
        <v>1</v>
      </c>
      <c r="N466" s="27">
        <v>0.90969999999999995</v>
      </c>
      <c r="O466" s="28">
        <v>0</v>
      </c>
      <c r="P466" s="27">
        <v>0.90969999999999995</v>
      </c>
      <c r="Q466" s="54"/>
      <c r="R466" s="52"/>
      <c r="S466" s="1"/>
      <c r="T466" s="1"/>
      <c r="U466" s="1"/>
    </row>
    <row r="467" spans="1:21" x14ac:dyDescent="0.3">
      <c r="A467" s="1"/>
      <c r="B467" s="23">
        <v>6</v>
      </c>
      <c r="C467" s="37" t="s">
        <v>242</v>
      </c>
      <c r="D467" s="25">
        <v>1</v>
      </c>
      <c r="E467" s="25">
        <v>1</v>
      </c>
      <c r="F467" s="25">
        <v>1</v>
      </c>
      <c r="G467" s="25">
        <v>1</v>
      </c>
      <c r="H467" s="25">
        <v>1</v>
      </c>
      <c r="I467" s="25">
        <v>0.99850000000000005</v>
      </c>
      <c r="J467" s="25">
        <v>1</v>
      </c>
      <c r="K467" s="25">
        <v>1</v>
      </c>
      <c r="L467" s="26">
        <v>0</v>
      </c>
      <c r="M467" s="26">
        <v>1</v>
      </c>
      <c r="N467" s="27">
        <v>0.97989999999999999</v>
      </c>
      <c r="O467" s="28">
        <v>0</v>
      </c>
      <c r="P467" s="27">
        <v>0.97989999999999999</v>
      </c>
      <c r="Q467" s="54"/>
      <c r="R467" s="52"/>
      <c r="S467" s="1"/>
      <c r="T467" s="1"/>
      <c r="U467" s="1"/>
    </row>
    <row r="468" spans="1:21" x14ac:dyDescent="0.3">
      <c r="A468" s="1"/>
      <c r="B468" s="59" t="s">
        <v>27</v>
      </c>
      <c r="C468" s="60"/>
      <c r="D468" s="31">
        <v>1</v>
      </c>
      <c r="E468" s="31">
        <v>1</v>
      </c>
      <c r="F468" s="31">
        <v>1</v>
      </c>
      <c r="G468" s="31">
        <v>0.98</v>
      </c>
      <c r="H468" s="31">
        <v>0.83</v>
      </c>
      <c r="I468" s="31">
        <v>1</v>
      </c>
      <c r="J468" s="31">
        <v>0.93</v>
      </c>
      <c r="K468" s="31">
        <v>1</v>
      </c>
      <c r="L468" s="31">
        <v>0.33</v>
      </c>
      <c r="M468" s="31">
        <v>1</v>
      </c>
      <c r="N468" s="31">
        <v>0.95</v>
      </c>
      <c r="O468" s="31">
        <v>0</v>
      </c>
      <c r="P468" s="31">
        <v>0.95</v>
      </c>
      <c r="Q468" s="54"/>
      <c r="R468" s="52"/>
      <c r="S468" s="1"/>
      <c r="T468" s="1"/>
      <c r="U468" s="1"/>
    </row>
    <row r="469" spans="1:2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52"/>
      <c r="R469" s="52"/>
      <c r="S469" s="1"/>
      <c r="T469" s="1"/>
      <c r="U469" s="1"/>
    </row>
    <row r="470" spans="1:2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52"/>
      <c r="R470" s="52"/>
      <c r="S470" s="1"/>
      <c r="T470" s="1"/>
      <c r="U470" s="1"/>
    </row>
    <row r="471" spans="1:21" ht="15.6" x14ac:dyDescent="0.3">
      <c r="A471" s="1"/>
      <c r="B471" s="3"/>
      <c r="C471" s="4" t="s">
        <v>243</v>
      </c>
      <c r="D471" s="3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5" t="s">
        <v>2</v>
      </c>
      <c r="Q471" s="54"/>
      <c r="R471" s="52"/>
      <c r="S471" s="1"/>
      <c r="T471" s="1"/>
      <c r="U471" s="1"/>
    </row>
    <row r="472" spans="1:21" ht="15.6" x14ac:dyDescent="0.3">
      <c r="A472" s="1"/>
      <c r="B472" s="3"/>
      <c r="C472" s="6">
        <v>46174</v>
      </c>
      <c r="D472" s="3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7">
        <v>0.93</v>
      </c>
      <c r="Q472" s="54"/>
      <c r="R472" s="52"/>
      <c r="S472" s="1"/>
      <c r="T472" s="1"/>
      <c r="U472" s="1"/>
    </row>
    <row r="473" spans="1:21" ht="42" x14ac:dyDescent="0.3">
      <c r="A473" s="1"/>
      <c r="B473" s="55" t="s">
        <v>3</v>
      </c>
      <c r="C473" s="55" t="s">
        <v>4</v>
      </c>
      <c r="D473" s="8" t="s">
        <v>5</v>
      </c>
      <c r="E473" s="8" t="s">
        <v>6</v>
      </c>
      <c r="F473" s="9" t="s">
        <v>7</v>
      </c>
      <c r="G473" s="9" t="s">
        <v>8</v>
      </c>
      <c r="H473" s="9" t="s">
        <v>9</v>
      </c>
      <c r="I473" s="10" t="s">
        <v>10</v>
      </c>
      <c r="J473" s="10" t="s">
        <v>11</v>
      </c>
      <c r="K473" s="11" t="s">
        <v>12</v>
      </c>
      <c r="L473" s="10" t="s">
        <v>13</v>
      </c>
      <c r="M473" s="11" t="s">
        <v>14</v>
      </c>
      <c r="N473" s="12" t="s">
        <v>15</v>
      </c>
      <c r="O473" s="57" t="s">
        <v>16</v>
      </c>
      <c r="P473" s="57" t="s">
        <v>17</v>
      </c>
      <c r="Q473" s="54"/>
      <c r="R473" s="52"/>
      <c r="S473" s="1"/>
      <c r="T473" s="1"/>
      <c r="U473" s="1"/>
    </row>
    <row r="474" spans="1:21" x14ac:dyDescent="0.3">
      <c r="A474" s="1"/>
      <c r="B474" s="56"/>
      <c r="C474" s="56"/>
      <c r="D474" s="13" t="s">
        <v>18</v>
      </c>
      <c r="E474" s="13" t="s">
        <v>18</v>
      </c>
      <c r="F474" s="13" t="s">
        <v>18</v>
      </c>
      <c r="G474" s="13" t="s">
        <v>18</v>
      </c>
      <c r="H474" s="13" t="s">
        <v>18</v>
      </c>
      <c r="I474" s="13" t="s">
        <v>18</v>
      </c>
      <c r="J474" s="13" t="s">
        <v>18</v>
      </c>
      <c r="K474" s="13" t="s">
        <v>18</v>
      </c>
      <c r="L474" s="13" t="s">
        <v>18</v>
      </c>
      <c r="M474" s="13" t="s">
        <v>18</v>
      </c>
      <c r="N474" s="14" t="s">
        <v>29</v>
      </c>
      <c r="O474" s="58"/>
      <c r="P474" s="58"/>
      <c r="Q474" s="54"/>
      <c r="R474" s="52"/>
      <c r="S474" s="1"/>
      <c r="T474" s="1"/>
      <c r="U474" s="1"/>
    </row>
    <row r="475" spans="1:21" x14ac:dyDescent="0.3">
      <c r="A475" s="1"/>
      <c r="B475" s="59" t="s">
        <v>20</v>
      </c>
      <c r="C475" s="60"/>
      <c r="D475" s="16">
        <v>0.1</v>
      </c>
      <c r="E475" s="16">
        <v>0.05</v>
      </c>
      <c r="F475" s="16">
        <v>0.1</v>
      </c>
      <c r="G475" s="16">
        <v>0.1</v>
      </c>
      <c r="H475" s="16">
        <v>0.05</v>
      </c>
      <c r="I475" s="17">
        <v>0.1</v>
      </c>
      <c r="J475" s="17">
        <v>0.35</v>
      </c>
      <c r="K475" s="17">
        <v>0.08</v>
      </c>
      <c r="L475" s="17">
        <v>0.02</v>
      </c>
      <c r="M475" s="17">
        <v>0.05</v>
      </c>
      <c r="N475" s="19">
        <v>1</v>
      </c>
      <c r="O475" s="20"/>
      <c r="P475" s="22"/>
      <c r="Q475" s="54"/>
      <c r="R475" s="52"/>
      <c r="S475" s="1"/>
      <c r="T475" s="1"/>
      <c r="U475" s="1"/>
    </row>
    <row r="476" spans="1:21" ht="18" x14ac:dyDescent="0.3">
      <c r="A476" s="1"/>
      <c r="B476" s="23">
        <v>1</v>
      </c>
      <c r="C476" s="24" t="s">
        <v>244</v>
      </c>
      <c r="D476" s="25">
        <v>1</v>
      </c>
      <c r="E476" s="25">
        <v>1</v>
      </c>
      <c r="F476" s="25">
        <v>1</v>
      </c>
      <c r="G476" s="25">
        <v>1</v>
      </c>
      <c r="H476" s="25">
        <v>1</v>
      </c>
      <c r="I476" s="25">
        <v>0.99629999999999996</v>
      </c>
      <c r="J476" s="25">
        <v>1</v>
      </c>
      <c r="K476" s="25">
        <v>1</v>
      </c>
      <c r="L476" s="26">
        <v>0</v>
      </c>
      <c r="M476" s="26">
        <v>1</v>
      </c>
      <c r="N476" s="27">
        <v>0.97960000000000003</v>
      </c>
      <c r="O476" s="28">
        <v>0</v>
      </c>
      <c r="P476" s="27">
        <v>0.97960000000000003</v>
      </c>
      <c r="Q476" s="54"/>
      <c r="R476" s="52"/>
      <c r="S476" s="1"/>
      <c r="T476" s="1"/>
      <c r="U476" s="1"/>
    </row>
    <row r="477" spans="1:21" ht="18" x14ac:dyDescent="0.3">
      <c r="A477" s="1"/>
      <c r="B477" s="23">
        <v>2</v>
      </c>
      <c r="C477" s="24" t="s">
        <v>245</v>
      </c>
      <c r="D477" s="25">
        <v>0.98</v>
      </c>
      <c r="E477" s="25">
        <v>1</v>
      </c>
      <c r="F477" s="25">
        <v>1</v>
      </c>
      <c r="G477" s="25">
        <v>1</v>
      </c>
      <c r="H477" s="25">
        <v>1</v>
      </c>
      <c r="I477" s="25">
        <v>0.99790000000000001</v>
      </c>
      <c r="J477" s="25">
        <v>1</v>
      </c>
      <c r="K477" s="25">
        <v>1</v>
      </c>
      <c r="L477" s="26">
        <v>0</v>
      </c>
      <c r="M477" s="26">
        <v>1</v>
      </c>
      <c r="N477" s="27">
        <v>0.9778</v>
      </c>
      <c r="O477" s="28">
        <v>0</v>
      </c>
      <c r="P477" s="27">
        <v>0.9778</v>
      </c>
      <c r="Q477" s="54"/>
      <c r="R477" s="52"/>
      <c r="S477" s="1"/>
      <c r="T477" s="1"/>
      <c r="U477" s="1"/>
    </row>
    <row r="478" spans="1:21" ht="18" x14ac:dyDescent="0.3">
      <c r="A478" s="1"/>
      <c r="B478" s="23">
        <v>3</v>
      </c>
      <c r="C478" s="24" t="s">
        <v>246</v>
      </c>
      <c r="D478" s="25">
        <v>1</v>
      </c>
      <c r="E478" s="25">
        <v>1</v>
      </c>
      <c r="F478" s="25">
        <v>1</v>
      </c>
      <c r="G478" s="25">
        <v>1</v>
      </c>
      <c r="H478" s="25">
        <v>1</v>
      </c>
      <c r="I478" s="25">
        <v>1</v>
      </c>
      <c r="J478" s="25">
        <v>1</v>
      </c>
      <c r="K478" s="25">
        <v>1</v>
      </c>
      <c r="L478" s="26">
        <v>0</v>
      </c>
      <c r="M478" s="26">
        <v>1</v>
      </c>
      <c r="N478" s="27">
        <v>0.98</v>
      </c>
      <c r="O478" s="28">
        <v>0</v>
      </c>
      <c r="P478" s="27">
        <v>0.98</v>
      </c>
      <c r="Q478" s="54"/>
      <c r="R478" s="52"/>
      <c r="S478" s="1"/>
      <c r="T478" s="1"/>
      <c r="U478" s="1"/>
    </row>
    <row r="479" spans="1:21" ht="18" x14ac:dyDescent="0.3">
      <c r="A479" s="1"/>
      <c r="B479" s="23">
        <v>4</v>
      </c>
      <c r="C479" s="24" t="s">
        <v>247</v>
      </c>
      <c r="D479" s="25">
        <v>0.98</v>
      </c>
      <c r="E479" s="25">
        <v>1</v>
      </c>
      <c r="F479" s="25">
        <v>1</v>
      </c>
      <c r="G479" s="25">
        <v>1</v>
      </c>
      <c r="H479" s="25">
        <v>1</v>
      </c>
      <c r="I479" s="25">
        <v>1</v>
      </c>
      <c r="J479" s="25">
        <v>1</v>
      </c>
      <c r="K479" s="25">
        <v>0.5</v>
      </c>
      <c r="L479" s="26">
        <v>0</v>
      </c>
      <c r="M479" s="26">
        <v>1</v>
      </c>
      <c r="N479" s="27">
        <v>0.93799999999999994</v>
      </c>
      <c r="O479" s="28">
        <v>0</v>
      </c>
      <c r="P479" s="27">
        <v>0.93799999999999994</v>
      </c>
      <c r="Q479" s="54"/>
      <c r="R479" s="52"/>
      <c r="S479" s="1"/>
      <c r="T479" s="1"/>
      <c r="U479" s="1"/>
    </row>
    <row r="480" spans="1:21" ht="18" x14ac:dyDescent="0.3">
      <c r="A480" s="1"/>
      <c r="B480" s="23">
        <v>5</v>
      </c>
      <c r="C480" s="24" t="s">
        <v>248</v>
      </c>
      <c r="D480" s="25">
        <v>0.98</v>
      </c>
      <c r="E480" s="25">
        <v>1</v>
      </c>
      <c r="F480" s="25">
        <v>1</v>
      </c>
      <c r="G480" s="25">
        <v>0.89290000000000003</v>
      </c>
      <c r="H480" s="25">
        <v>1</v>
      </c>
      <c r="I480" s="25">
        <v>0.98199999999999998</v>
      </c>
      <c r="J480" s="25">
        <v>0.8</v>
      </c>
      <c r="K480" s="25">
        <v>0</v>
      </c>
      <c r="L480" s="26">
        <v>0</v>
      </c>
      <c r="M480" s="26">
        <v>0.5</v>
      </c>
      <c r="N480" s="27">
        <v>0.79049999999999998</v>
      </c>
      <c r="O480" s="28">
        <v>0</v>
      </c>
      <c r="P480" s="27">
        <v>0.79049999999999998</v>
      </c>
      <c r="Q480" s="54"/>
      <c r="R480" s="52"/>
      <c r="S480" s="1"/>
      <c r="T480" s="1"/>
      <c r="U480" s="1"/>
    </row>
    <row r="481" spans="1:21" x14ac:dyDescent="0.3">
      <c r="A481" s="1"/>
      <c r="B481" s="59" t="s">
        <v>27</v>
      </c>
      <c r="C481" s="60"/>
      <c r="D481" s="31">
        <v>0.99</v>
      </c>
      <c r="E481" s="31">
        <v>1</v>
      </c>
      <c r="F481" s="31">
        <v>1</v>
      </c>
      <c r="G481" s="31">
        <v>0.98</v>
      </c>
      <c r="H481" s="31">
        <v>1</v>
      </c>
      <c r="I481" s="31">
        <v>1</v>
      </c>
      <c r="J481" s="31">
        <v>0.96</v>
      </c>
      <c r="K481" s="31">
        <v>0.7</v>
      </c>
      <c r="L481" s="31">
        <v>0</v>
      </c>
      <c r="M481" s="31">
        <v>0.9</v>
      </c>
      <c r="N481" s="31">
        <v>0.93</v>
      </c>
      <c r="O481" s="31">
        <v>0</v>
      </c>
      <c r="P481" s="31">
        <v>0.93</v>
      </c>
      <c r="Q481" s="54"/>
      <c r="R481" s="52"/>
      <c r="S481" s="1"/>
      <c r="T481" s="1"/>
      <c r="U481" s="1"/>
    </row>
    <row r="482" spans="1:2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52"/>
      <c r="R482" s="52"/>
      <c r="S482" s="1"/>
      <c r="T482" s="1"/>
      <c r="U482" s="1"/>
    </row>
    <row r="483" spans="1:2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52"/>
      <c r="R483" s="52"/>
      <c r="S483" s="1"/>
      <c r="T483" s="1"/>
      <c r="U483" s="1"/>
    </row>
    <row r="484" spans="1:21" ht="15.6" x14ac:dyDescent="0.3">
      <c r="A484" s="1"/>
      <c r="B484" s="3"/>
      <c r="C484" s="4" t="s">
        <v>249</v>
      </c>
      <c r="D484" s="3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5" t="s">
        <v>2</v>
      </c>
      <c r="Q484" s="54"/>
      <c r="R484" s="52"/>
      <c r="S484" s="1"/>
      <c r="T484" s="1"/>
      <c r="U484" s="1"/>
    </row>
    <row r="485" spans="1:21" ht="15.6" x14ac:dyDescent="0.3">
      <c r="A485" s="1"/>
      <c r="B485" s="3"/>
      <c r="C485" s="6">
        <v>46174</v>
      </c>
      <c r="D485" s="3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7">
        <v>0.97</v>
      </c>
      <c r="Q485" s="54"/>
      <c r="R485" s="52"/>
      <c r="S485" s="1"/>
      <c r="T485" s="1"/>
      <c r="U485" s="1"/>
    </row>
    <row r="486" spans="1:21" ht="42" x14ac:dyDescent="0.3">
      <c r="A486" s="1"/>
      <c r="B486" s="55" t="s">
        <v>3</v>
      </c>
      <c r="C486" s="55" t="s">
        <v>4</v>
      </c>
      <c r="D486" s="8" t="s">
        <v>5</v>
      </c>
      <c r="E486" s="8" t="s">
        <v>6</v>
      </c>
      <c r="F486" s="9" t="s">
        <v>7</v>
      </c>
      <c r="G486" s="9" t="s">
        <v>8</v>
      </c>
      <c r="H486" s="9" t="s">
        <v>9</v>
      </c>
      <c r="I486" s="10" t="s">
        <v>10</v>
      </c>
      <c r="J486" s="10" t="s">
        <v>11</v>
      </c>
      <c r="K486" s="11" t="s">
        <v>12</v>
      </c>
      <c r="L486" s="10" t="s">
        <v>13</v>
      </c>
      <c r="M486" s="11" t="s">
        <v>14</v>
      </c>
      <c r="N486" s="12" t="s">
        <v>15</v>
      </c>
      <c r="O486" s="57" t="s">
        <v>16</v>
      </c>
      <c r="P486" s="57" t="s">
        <v>17</v>
      </c>
      <c r="Q486" s="54"/>
      <c r="R486" s="52"/>
      <c r="S486" s="1"/>
      <c r="T486" s="1"/>
      <c r="U486" s="1"/>
    </row>
    <row r="487" spans="1:21" x14ac:dyDescent="0.3">
      <c r="A487" s="1"/>
      <c r="B487" s="56"/>
      <c r="C487" s="56"/>
      <c r="D487" s="13" t="s">
        <v>18</v>
      </c>
      <c r="E487" s="13" t="s">
        <v>18</v>
      </c>
      <c r="F487" s="13" t="s">
        <v>18</v>
      </c>
      <c r="G487" s="13" t="s">
        <v>18</v>
      </c>
      <c r="H487" s="13" t="s">
        <v>18</v>
      </c>
      <c r="I487" s="13" t="s">
        <v>18</v>
      </c>
      <c r="J487" s="13" t="s">
        <v>18</v>
      </c>
      <c r="K487" s="13" t="s">
        <v>18</v>
      </c>
      <c r="L487" s="13" t="s">
        <v>18</v>
      </c>
      <c r="M487" s="13" t="s">
        <v>18</v>
      </c>
      <c r="N487" s="14" t="s">
        <v>29</v>
      </c>
      <c r="O487" s="58"/>
      <c r="P487" s="58"/>
      <c r="Q487" s="54"/>
      <c r="R487" s="52"/>
      <c r="S487" s="1"/>
      <c r="T487" s="1"/>
      <c r="U487" s="1"/>
    </row>
    <row r="488" spans="1:21" x14ac:dyDescent="0.3">
      <c r="A488" s="1"/>
      <c r="B488" s="59" t="s">
        <v>20</v>
      </c>
      <c r="C488" s="60"/>
      <c r="D488" s="16">
        <v>0.1</v>
      </c>
      <c r="E488" s="16">
        <v>0.05</v>
      </c>
      <c r="F488" s="16">
        <v>0.1</v>
      </c>
      <c r="G488" s="16">
        <v>0.1</v>
      </c>
      <c r="H488" s="16">
        <v>0.05</v>
      </c>
      <c r="I488" s="17">
        <v>0.1</v>
      </c>
      <c r="J488" s="17">
        <v>0.35</v>
      </c>
      <c r="K488" s="17">
        <v>0.08</v>
      </c>
      <c r="L488" s="17">
        <v>0.02</v>
      </c>
      <c r="M488" s="17">
        <v>0.05</v>
      </c>
      <c r="N488" s="19">
        <v>1</v>
      </c>
      <c r="O488" s="20"/>
      <c r="P488" s="22"/>
      <c r="Q488" s="54"/>
      <c r="R488" s="52"/>
      <c r="S488" s="1"/>
      <c r="T488" s="1"/>
      <c r="U488" s="1"/>
    </row>
    <row r="489" spans="1:21" ht="18" x14ac:dyDescent="0.3">
      <c r="A489" s="1"/>
      <c r="B489" s="23">
        <v>1</v>
      </c>
      <c r="C489" s="24" t="s">
        <v>250</v>
      </c>
      <c r="D489" s="25">
        <v>1</v>
      </c>
      <c r="E489" s="25">
        <v>1</v>
      </c>
      <c r="F489" s="25">
        <v>1</v>
      </c>
      <c r="G489" s="25">
        <v>1</v>
      </c>
      <c r="H489" s="25">
        <v>1</v>
      </c>
      <c r="I489" s="25">
        <v>1</v>
      </c>
      <c r="J489" s="25">
        <v>1</v>
      </c>
      <c r="K489" s="25">
        <v>1</v>
      </c>
      <c r="L489" s="26">
        <v>0</v>
      </c>
      <c r="M489" s="26">
        <v>1</v>
      </c>
      <c r="N489" s="27">
        <v>0.98</v>
      </c>
      <c r="O489" s="28">
        <v>0</v>
      </c>
      <c r="P489" s="27">
        <v>0.98</v>
      </c>
      <c r="Q489" s="54"/>
      <c r="R489" s="52"/>
      <c r="S489" s="1"/>
      <c r="T489" s="1"/>
      <c r="U489" s="1"/>
    </row>
    <row r="490" spans="1:21" ht="18" x14ac:dyDescent="0.3">
      <c r="A490" s="1"/>
      <c r="B490" s="23">
        <v>2</v>
      </c>
      <c r="C490" s="24" t="s">
        <v>251</v>
      </c>
      <c r="D490" s="25">
        <v>1</v>
      </c>
      <c r="E490" s="25">
        <v>1</v>
      </c>
      <c r="F490" s="25">
        <v>1</v>
      </c>
      <c r="G490" s="25">
        <v>0.96879999999999999</v>
      </c>
      <c r="H490" s="25">
        <v>1</v>
      </c>
      <c r="I490" s="25">
        <v>1</v>
      </c>
      <c r="J490" s="25">
        <v>1</v>
      </c>
      <c r="K490" s="25">
        <v>1</v>
      </c>
      <c r="L490" s="26">
        <v>0</v>
      </c>
      <c r="M490" s="26">
        <v>1</v>
      </c>
      <c r="N490" s="27">
        <v>0.97689999999999999</v>
      </c>
      <c r="O490" s="28">
        <v>0</v>
      </c>
      <c r="P490" s="27">
        <v>0.97689999999999999</v>
      </c>
      <c r="Q490" s="54"/>
      <c r="R490" s="52"/>
      <c r="S490" s="1"/>
      <c r="T490" s="1"/>
      <c r="U490" s="1"/>
    </row>
    <row r="491" spans="1:21" ht="18" x14ac:dyDescent="0.3">
      <c r="A491" s="1"/>
      <c r="B491" s="23">
        <v>3</v>
      </c>
      <c r="C491" s="24" t="s">
        <v>252</v>
      </c>
      <c r="D491" s="25">
        <v>1</v>
      </c>
      <c r="E491" s="25">
        <v>1</v>
      </c>
      <c r="F491" s="25">
        <v>1</v>
      </c>
      <c r="G491" s="25">
        <v>1</v>
      </c>
      <c r="H491" s="25">
        <v>1</v>
      </c>
      <c r="I491" s="25">
        <v>1</v>
      </c>
      <c r="J491" s="25">
        <v>1</v>
      </c>
      <c r="K491" s="25">
        <v>1</v>
      </c>
      <c r="L491" s="26">
        <v>0</v>
      </c>
      <c r="M491" s="26">
        <v>0.5</v>
      </c>
      <c r="N491" s="27">
        <v>0.95499999999999996</v>
      </c>
      <c r="O491" s="28">
        <v>0</v>
      </c>
      <c r="P491" s="27">
        <v>0.95499999999999996</v>
      </c>
      <c r="Q491" s="54"/>
      <c r="R491" s="52"/>
      <c r="S491" s="1"/>
      <c r="T491" s="1"/>
      <c r="U491" s="1"/>
    </row>
    <row r="492" spans="1:21" ht="18" x14ac:dyDescent="0.3">
      <c r="A492" s="1"/>
      <c r="B492" s="23">
        <v>4</v>
      </c>
      <c r="C492" s="24" t="s">
        <v>253</v>
      </c>
      <c r="D492" s="25">
        <v>1</v>
      </c>
      <c r="E492" s="25">
        <v>1</v>
      </c>
      <c r="F492" s="25">
        <v>1</v>
      </c>
      <c r="G492" s="25">
        <v>1</v>
      </c>
      <c r="H492" s="25">
        <v>1</v>
      </c>
      <c r="I492" s="25">
        <v>0.99809999999999999</v>
      </c>
      <c r="J492" s="25">
        <v>1</v>
      </c>
      <c r="K492" s="25">
        <v>1</v>
      </c>
      <c r="L492" s="26">
        <v>0</v>
      </c>
      <c r="M492" s="26">
        <v>1</v>
      </c>
      <c r="N492" s="27">
        <v>0.9798</v>
      </c>
      <c r="O492" s="28">
        <v>0</v>
      </c>
      <c r="P492" s="27">
        <v>0.9798</v>
      </c>
      <c r="Q492" s="54"/>
      <c r="R492" s="52"/>
      <c r="S492" s="1"/>
      <c r="T492" s="1"/>
      <c r="U492" s="1"/>
    </row>
    <row r="493" spans="1:21" ht="18" x14ac:dyDescent="0.3">
      <c r="A493" s="1"/>
      <c r="B493" s="23">
        <v>5</v>
      </c>
      <c r="C493" s="24" t="s">
        <v>254</v>
      </c>
      <c r="D493" s="25">
        <v>1</v>
      </c>
      <c r="E493" s="25">
        <v>1</v>
      </c>
      <c r="F493" s="25">
        <v>1</v>
      </c>
      <c r="G493" s="25">
        <v>1</v>
      </c>
      <c r="H493" s="25">
        <v>1</v>
      </c>
      <c r="I493" s="25">
        <v>0.99790000000000001</v>
      </c>
      <c r="J493" s="25">
        <v>1</v>
      </c>
      <c r="K493" s="25">
        <v>1</v>
      </c>
      <c r="L493" s="26">
        <v>1</v>
      </c>
      <c r="M493" s="26">
        <v>1</v>
      </c>
      <c r="N493" s="27">
        <v>0.99980000000000002</v>
      </c>
      <c r="O493" s="28">
        <v>0</v>
      </c>
      <c r="P493" s="27">
        <v>0.99980000000000002</v>
      </c>
      <c r="Q493" s="54"/>
      <c r="R493" s="52"/>
      <c r="S493" s="1"/>
      <c r="T493" s="1"/>
      <c r="U493" s="1"/>
    </row>
    <row r="494" spans="1:21" ht="18" x14ac:dyDescent="0.3">
      <c r="A494" s="1"/>
      <c r="B494" s="23">
        <v>6</v>
      </c>
      <c r="C494" s="24" t="s">
        <v>255</v>
      </c>
      <c r="D494" s="25">
        <v>1</v>
      </c>
      <c r="E494" s="25">
        <v>1</v>
      </c>
      <c r="F494" s="25">
        <v>1</v>
      </c>
      <c r="G494" s="25">
        <v>1</v>
      </c>
      <c r="H494" s="25">
        <v>1</v>
      </c>
      <c r="I494" s="25">
        <v>0.98670000000000002</v>
      </c>
      <c r="J494" s="25">
        <v>1</v>
      </c>
      <c r="K494" s="25">
        <v>0.5</v>
      </c>
      <c r="L494" s="26">
        <v>0</v>
      </c>
      <c r="M494" s="26">
        <v>0.5</v>
      </c>
      <c r="N494" s="27">
        <v>0.91369999999999996</v>
      </c>
      <c r="O494" s="28">
        <v>0</v>
      </c>
      <c r="P494" s="27">
        <v>0.91369999999999996</v>
      </c>
      <c r="Q494" s="54"/>
      <c r="R494" s="52"/>
      <c r="S494" s="1"/>
      <c r="T494" s="1"/>
      <c r="U494" s="1"/>
    </row>
    <row r="495" spans="1:21" x14ac:dyDescent="0.3">
      <c r="A495" s="1"/>
      <c r="B495" s="59" t="s">
        <v>27</v>
      </c>
      <c r="C495" s="60"/>
      <c r="D495" s="31">
        <v>1</v>
      </c>
      <c r="E495" s="31">
        <v>1</v>
      </c>
      <c r="F495" s="31">
        <v>1</v>
      </c>
      <c r="G495" s="31">
        <v>0.99</v>
      </c>
      <c r="H495" s="31">
        <v>1</v>
      </c>
      <c r="I495" s="31">
        <v>1</v>
      </c>
      <c r="J495" s="31">
        <v>1</v>
      </c>
      <c r="K495" s="31">
        <v>0.92</v>
      </c>
      <c r="L495" s="31">
        <v>0.17</v>
      </c>
      <c r="M495" s="31">
        <v>0.83</v>
      </c>
      <c r="N495" s="31">
        <v>0.97</v>
      </c>
      <c r="O495" s="31">
        <v>0</v>
      </c>
      <c r="P495" s="31">
        <v>0.97</v>
      </c>
      <c r="Q495" s="54"/>
      <c r="R495" s="52"/>
      <c r="S495" s="1"/>
      <c r="T495" s="1"/>
      <c r="U495" s="1"/>
    </row>
    <row r="496" spans="1:2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52"/>
      <c r="R496" s="52"/>
      <c r="S496" s="1"/>
      <c r="T496" s="1"/>
      <c r="U496" s="1"/>
    </row>
    <row r="497" spans="1:2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52"/>
      <c r="R497" s="52"/>
      <c r="S497" s="1"/>
      <c r="T497" s="1"/>
      <c r="U497" s="1"/>
    </row>
    <row r="498" spans="1:2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52"/>
      <c r="R498" s="52"/>
      <c r="S498" s="1"/>
      <c r="T498" s="1"/>
      <c r="U498" s="1"/>
    </row>
    <row r="499" spans="1:21" ht="15.6" x14ac:dyDescent="0.3">
      <c r="A499" s="1"/>
      <c r="B499" s="3"/>
      <c r="C499" s="4" t="s">
        <v>256</v>
      </c>
      <c r="D499" s="3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5" t="s">
        <v>2</v>
      </c>
      <c r="Q499" s="54"/>
      <c r="R499" s="52"/>
      <c r="S499" s="1"/>
      <c r="T499" s="1"/>
      <c r="U499" s="1"/>
    </row>
    <row r="500" spans="1:21" ht="15.6" x14ac:dyDescent="0.3">
      <c r="A500" s="1"/>
      <c r="B500" s="3"/>
      <c r="C500" s="6">
        <v>46174</v>
      </c>
      <c r="D500" s="3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7">
        <v>0.99</v>
      </c>
      <c r="Q500" s="54"/>
      <c r="R500" s="52"/>
      <c r="S500" s="1"/>
      <c r="T500" s="1"/>
      <c r="U500" s="1"/>
    </row>
    <row r="501" spans="1:21" ht="42" x14ac:dyDescent="0.3">
      <c r="A501" s="1"/>
      <c r="B501" s="55" t="s">
        <v>3</v>
      </c>
      <c r="C501" s="55" t="s">
        <v>4</v>
      </c>
      <c r="D501" s="8" t="s">
        <v>5</v>
      </c>
      <c r="E501" s="8" t="s">
        <v>6</v>
      </c>
      <c r="F501" s="9" t="s">
        <v>7</v>
      </c>
      <c r="G501" s="9" t="s">
        <v>8</v>
      </c>
      <c r="H501" s="9" t="s">
        <v>9</v>
      </c>
      <c r="I501" s="10" t="s">
        <v>10</v>
      </c>
      <c r="J501" s="10" t="s">
        <v>11</v>
      </c>
      <c r="K501" s="11" t="s">
        <v>12</v>
      </c>
      <c r="L501" s="10" t="s">
        <v>13</v>
      </c>
      <c r="M501" s="11" t="s">
        <v>14</v>
      </c>
      <c r="N501" s="12" t="s">
        <v>15</v>
      </c>
      <c r="O501" s="57" t="s">
        <v>16</v>
      </c>
      <c r="P501" s="57" t="s">
        <v>17</v>
      </c>
      <c r="Q501" s="54"/>
      <c r="R501" s="52"/>
      <c r="S501" s="1"/>
      <c r="T501" s="1"/>
      <c r="U501" s="1"/>
    </row>
    <row r="502" spans="1:21" x14ac:dyDescent="0.3">
      <c r="A502" s="1"/>
      <c r="B502" s="56"/>
      <c r="C502" s="56"/>
      <c r="D502" s="13" t="s">
        <v>18</v>
      </c>
      <c r="E502" s="13" t="s">
        <v>18</v>
      </c>
      <c r="F502" s="13" t="s">
        <v>18</v>
      </c>
      <c r="G502" s="13" t="s">
        <v>18</v>
      </c>
      <c r="H502" s="13" t="s">
        <v>18</v>
      </c>
      <c r="I502" s="13" t="s">
        <v>18</v>
      </c>
      <c r="J502" s="13" t="s">
        <v>18</v>
      </c>
      <c r="K502" s="13" t="s">
        <v>18</v>
      </c>
      <c r="L502" s="13" t="s">
        <v>18</v>
      </c>
      <c r="M502" s="13" t="s">
        <v>18</v>
      </c>
      <c r="N502" s="14" t="s">
        <v>29</v>
      </c>
      <c r="O502" s="58"/>
      <c r="P502" s="58"/>
      <c r="Q502" s="54"/>
      <c r="R502" s="52"/>
      <c r="S502" s="1"/>
      <c r="T502" s="1"/>
      <c r="U502" s="1"/>
    </row>
    <row r="503" spans="1:21" x14ac:dyDescent="0.3">
      <c r="A503" s="1"/>
      <c r="B503" s="59" t="s">
        <v>20</v>
      </c>
      <c r="C503" s="60"/>
      <c r="D503" s="16">
        <v>0.1</v>
      </c>
      <c r="E503" s="16">
        <v>0.05</v>
      </c>
      <c r="F503" s="16">
        <v>0.1</v>
      </c>
      <c r="G503" s="16">
        <v>0.1</v>
      </c>
      <c r="H503" s="16">
        <v>0.05</v>
      </c>
      <c r="I503" s="17">
        <v>0.1</v>
      </c>
      <c r="J503" s="17">
        <v>0.35</v>
      </c>
      <c r="K503" s="17">
        <v>0.08</v>
      </c>
      <c r="L503" s="17">
        <v>0.02</v>
      </c>
      <c r="M503" s="17">
        <v>0.05</v>
      </c>
      <c r="N503" s="19">
        <v>1</v>
      </c>
      <c r="O503" s="20"/>
      <c r="P503" s="22"/>
      <c r="Q503" s="54"/>
      <c r="R503" s="52"/>
      <c r="S503" s="1"/>
      <c r="T503" s="1"/>
      <c r="U503" s="1"/>
    </row>
    <row r="504" spans="1:21" ht="18" x14ac:dyDescent="0.3">
      <c r="A504" s="1"/>
      <c r="B504" s="23">
        <v>1</v>
      </c>
      <c r="C504" s="24" t="s">
        <v>257</v>
      </c>
      <c r="D504" s="25">
        <v>1</v>
      </c>
      <c r="E504" s="25">
        <v>1</v>
      </c>
      <c r="F504" s="25">
        <v>1</v>
      </c>
      <c r="G504" s="25">
        <v>1</v>
      </c>
      <c r="H504" s="25">
        <v>1</v>
      </c>
      <c r="I504" s="25">
        <v>1</v>
      </c>
      <c r="J504" s="25">
        <v>1</v>
      </c>
      <c r="K504" s="25">
        <v>1</v>
      </c>
      <c r="L504" s="26">
        <v>1</v>
      </c>
      <c r="M504" s="26">
        <v>1</v>
      </c>
      <c r="N504" s="27">
        <v>1</v>
      </c>
      <c r="O504" s="28">
        <v>0</v>
      </c>
      <c r="P504" s="27">
        <v>1</v>
      </c>
      <c r="Q504" s="54"/>
      <c r="R504" s="52"/>
      <c r="S504" s="1"/>
      <c r="T504" s="1"/>
      <c r="U504" s="1"/>
    </row>
    <row r="505" spans="1:21" ht="18" x14ac:dyDescent="0.3">
      <c r="A505" s="1"/>
      <c r="B505" s="23">
        <v>2</v>
      </c>
      <c r="C505" s="24" t="s">
        <v>258</v>
      </c>
      <c r="D505" s="25">
        <v>1</v>
      </c>
      <c r="E505" s="25">
        <v>1</v>
      </c>
      <c r="F505" s="25">
        <v>1</v>
      </c>
      <c r="G505" s="25">
        <v>1</v>
      </c>
      <c r="H505" s="25">
        <v>1</v>
      </c>
      <c r="I505" s="25">
        <v>1</v>
      </c>
      <c r="J505" s="25">
        <v>1</v>
      </c>
      <c r="K505" s="25">
        <v>1</v>
      </c>
      <c r="L505" s="26">
        <v>1</v>
      </c>
      <c r="M505" s="26">
        <v>1</v>
      </c>
      <c r="N505" s="27">
        <v>1</v>
      </c>
      <c r="O505" s="28">
        <v>0</v>
      </c>
      <c r="P505" s="27">
        <v>1</v>
      </c>
      <c r="Q505" s="54"/>
      <c r="R505" s="52"/>
      <c r="S505" s="1"/>
      <c r="T505" s="1"/>
      <c r="U505" s="1"/>
    </row>
    <row r="506" spans="1:21" ht="18" x14ac:dyDescent="0.3">
      <c r="A506" s="1"/>
      <c r="B506" s="23">
        <v>3</v>
      </c>
      <c r="C506" s="24" t="s">
        <v>259</v>
      </c>
      <c r="D506" s="25">
        <v>1</v>
      </c>
      <c r="E506" s="25">
        <v>1</v>
      </c>
      <c r="F506" s="25">
        <v>1</v>
      </c>
      <c r="G506" s="25">
        <v>1</v>
      </c>
      <c r="H506" s="25">
        <v>1</v>
      </c>
      <c r="I506" s="25">
        <v>0.97150000000000003</v>
      </c>
      <c r="J506" s="25">
        <v>1</v>
      </c>
      <c r="K506" s="25">
        <v>1</v>
      </c>
      <c r="L506" s="26">
        <v>0</v>
      </c>
      <c r="M506" s="26">
        <v>1</v>
      </c>
      <c r="N506" s="27">
        <v>0.97719999999999996</v>
      </c>
      <c r="O506" s="28">
        <v>0</v>
      </c>
      <c r="P506" s="27">
        <v>0.97719999999999996</v>
      </c>
      <c r="Q506" s="54"/>
      <c r="R506" s="52"/>
      <c r="S506" s="1"/>
      <c r="T506" s="1"/>
      <c r="U506" s="1"/>
    </row>
    <row r="507" spans="1:21" ht="18" x14ac:dyDescent="0.3">
      <c r="A507" s="1"/>
      <c r="B507" s="23">
        <v>4</v>
      </c>
      <c r="C507" s="24" t="s">
        <v>260</v>
      </c>
      <c r="D507" s="25">
        <v>0.98</v>
      </c>
      <c r="E507" s="25">
        <v>1</v>
      </c>
      <c r="F507" s="25">
        <v>1</v>
      </c>
      <c r="G507" s="25">
        <v>1</v>
      </c>
      <c r="H507" s="25">
        <v>1</v>
      </c>
      <c r="I507" s="25">
        <v>1</v>
      </c>
      <c r="J507" s="25">
        <v>1</v>
      </c>
      <c r="K507" s="25">
        <v>1</v>
      </c>
      <c r="L507" s="26">
        <v>0</v>
      </c>
      <c r="M507" s="26">
        <v>1</v>
      </c>
      <c r="N507" s="27">
        <v>0.97799999999999998</v>
      </c>
      <c r="O507" s="28">
        <v>0</v>
      </c>
      <c r="P507" s="27">
        <v>0.97799999999999998</v>
      </c>
      <c r="Q507" s="54"/>
      <c r="R507" s="52"/>
      <c r="S507" s="1"/>
      <c r="T507" s="1"/>
      <c r="U507" s="1"/>
    </row>
    <row r="508" spans="1:21" ht="18" x14ac:dyDescent="0.3">
      <c r="A508" s="1"/>
      <c r="B508" s="23">
        <v>5</v>
      </c>
      <c r="C508" s="24" t="s">
        <v>261</v>
      </c>
      <c r="D508" s="25">
        <v>0.98</v>
      </c>
      <c r="E508" s="25">
        <v>1</v>
      </c>
      <c r="F508" s="25">
        <v>1</v>
      </c>
      <c r="G508" s="25">
        <v>1</v>
      </c>
      <c r="H508" s="25">
        <v>1</v>
      </c>
      <c r="I508" s="25">
        <v>1</v>
      </c>
      <c r="J508" s="25">
        <v>1</v>
      </c>
      <c r="K508" s="25">
        <v>1</v>
      </c>
      <c r="L508" s="26">
        <v>1</v>
      </c>
      <c r="M508" s="26">
        <v>0.75</v>
      </c>
      <c r="N508" s="27">
        <v>0.98550000000000004</v>
      </c>
      <c r="O508" s="28">
        <v>0</v>
      </c>
      <c r="P508" s="27">
        <v>0.98550000000000004</v>
      </c>
      <c r="Q508" s="54"/>
      <c r="R508" s="52"/>
      <c r="S508" s="1"/>
      <c r="T508" s="1"/>
      <c r="U508" s="1"/>
    </row>
    <row r="509" spans="1:21" ht="18" x14ac:dyDescent="0.3">
      <c r="A509" s="1"/>
      <c r="B509" s="23">
        <v>6</v>
      </c>
      <c r="C509" s="24" t="s">
        <v>262</v>
      </c>
      <c r="D509" s="25">
        <v>0.98</v>
      </c>
      <c r="E509" s="25">
        <v>1</v>
      </c>
      <c r="F509" s="25">
        <v>1</v>
      </c>
      <c r="G509" s="25">
        <v>1</v>
      </c>
      <c r="H509" s="25">
        <v>1</v>
      </c>
      <c r="I509" s="25">
        <v>1</v>
      </c>
      <c r="J509" s="25">
        <v>1</v>
      </c>
      <c r="K509" s="25">
        <v>1</v>
      </c>
      <c r="L509" s="26">
        <v>1</v>
      </c>
      <c r="M509" s="26">
        <v>1</v>
      </c>
      <c r="N509" s="27">
        <v>0.998</v>
      </c>
      <c r="O509" s="28">
        <v>0</v>
      </c>
      <c r="P509" s="27">
        <v>0.998</v>
      </c>
      <c r="Q509" s="54"/>
      <c r="R509" s="52"/>
      <c r="S509" s="1"/>
      <c r="T509" s="1"/>
      <c r="U509" s="1"/>
    </row>
    <row r="510" spans="1:21" x14ac:dyDescent="0.3">
      <c r="A510" s="1"/>
      <c r="B510" s="59" t="s">
        <v>27</v>
      </c>
      <c r="C510" s="60"/>
      <c r="D510" s="31">
        <v>0.99</v>
      </c>
      <c r="E510" s="31">
        <v>1</v>
      </c>
      <c r="F510" s="31">
        <v>1</v>
      </c>
      <c r="G510" s="31">
        <v>1</v>
      </c>
      <c r="H510" s="31">
        <v>1</v>
      </c>
      <c r="I510" s="31">
        <v>1</v>
      </c>
      <c r="J510" s="31">
        <v>1</v>
      </c>
      <c r="K510" s="31">
        <v>1</v>
      </c>
      <c r="L510" s="31">
        <v>0.67</v>
      </c>
      <c r="M510" s="31">
        <v>0.96</v>
      </c>
      <c r="N510" s="31">
        <v>0.99</v>
      </c>
      <c r="O510" s="31">
        <v>0</v>
      </c>
      <c r="P510" s="31">
        <v>0.99</v>
      </c>
      <c r="Q510" s="54"/>
      <c r="R510" s="52"/>
      <c r="S510" s="1"/>
      <c r="T510" s="1"/>
      <c r="U510" s="1"/>
    </row>
    <row r="511" spans="1:2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52"/>
      <c r="R511" s="52"/>
      <c r="S511" s="1"/>
      <c r="T511" s="1"/>
      <c r="U511" s="1"/>
    </row>
    <row r="512" spans="1:2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52"/>
      <c r="R512" s="52"/>
      <c r="S512" s="1"/>
      <c r="T512" s="1"/>
      <c r="U512" s="1"/>
    </row>
    <row r="513" spans="1:21" ht="15.6" x14ac:dyDescent="0.3">
      <c r="A513" s="1"/>
      <c r="B513" s="3"/>
      <c r="C513" s="4" t="s">
        <v>263</v>
      </c>
      <c r="D513" s="3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5" t="s">
        <v>2</v>
      </c>
      <c r="Q513" s="54"/>
      <c r="R513" s="52"/>
      <c r="S513" s="1"/>
      <c r="T513" s="1"/>
      <c r="U513" s="1"/>
    </row>
    <row r="514" spans="1:21" ht="15.6" x14ac:dyDescent="0.3">
      <c r="A514" s="1"/>
      <c r="B514" s="3"/>
      <c r="C514" s="6">
        <v>46174</v>
      </c>
      <c r="D514" s="3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7">
        <v>0.94</v>
      </c>
      <c r="Q514" s="54"/>
      <c r="R514" s="52"/>
      <c r="S514" s="1"/>
      <c r="T514" s="1"/>
      <c r="U514" s="1"/>
    </row>
    <row r="515" spans="1:21" ht="42" x14ac:dyDescent="0.3">
      <c r="A515" s="1"/>
      <c r="B515" s="55" t="s">
        <v>3</v>
      </c>
      <c r="C515" s="55" t="s">
        <v>4</v>
      </c>
      <c r="D515" s="8" t="s">
        <v>5</v>
      </c>
      <c r="E515" s="8" t="s">
        <v>6</v>
      </c>
      <c r="F515" s="9" t="s">
        <v>7</v>
      </c>
      <c r="G515" s="9" t="s">
        <v>8</v>
      </c>
      <c r="H515" s="9" t="s">
        <v>9</v>
      </c>
      <c r="I515" s="10" t="s">
        <v>10</v>
      </c>
      <c r="J515" s="10" t="s">
        <v>11</v>
      </c>
      <c r="K515" s="11" t="s">
        <v>12</v>
      </c>
      <c r="L515" s="10" t="s">
        <v>13</v>
      </c>
      <c r="M515" s="11" t="s">
        <v>14</v>
      </c>
      <c r="N515" s="12" t="s">
        <v>15</v>
      </c>
      <c r="O515" s="57" t="s">
        <v>16</v>
      </c>
      <c r="P515" s="57" t="s">
        <v>17</v>
      </c>
      <c r="Q515" s="54"/>
      <c r="R515" s="52"/>
      <c r="S515" s="1"/>
      <c r="T515" s="1"/>
      <c r="U515" s="1"/>
    </row>
    <row r="516" spans="1:21" x14ac:dyDescent="0.3">
      <c r="A516" s="1"/>
      <c r="B516" s="56"/>
      <c r="C516" s="56"/>
      <c r="D516" s="13" t="s">
        <v>18</v>
      </c>
      <c r="E516" s="13" t="s">
        <v>18</v>
      </c>
      <c r="F516" s="13" t="s">
        <v>18</v>
      </c>
      <c r="G516" s="13" t="s">
        <v>18</v>
      </c>
      <c r="H516" s="13" t="s">
        <v>18</v>
      </c>
      <c r="I516" s="13" t="s">
        <v>18</v>
      </c>
      <c r="J516" s="13" t="s">
        <v>18</v>
      </c>
      <c r="K516" s="13" t="s">
        <v>18</v>
      </c>
      <c r="L516" s="13" t="s">
        <v>18</v>
      </c>
      <c r="M516" s="13" t="s">
        <v>18</v>
      </c>
      <c r="N516" s="14" t="s">
        <v>29</v>
      </c>
      <c r="O516" s="58"/>
      <c r="P516" s="58"/>
      <c r="Q516" s="54"/>
      <c r="R516" s="52"/>
      <c r="S516" s="1"/>
      <c r="T516" s="1"/>
      <c r="U516" s="1"/>
    </row>
    <row r="517" spans="1:21" x14ac:dyDescent="0.3">
      <c r="A517" s="1"/>
      <c r="B517" s="59" t="s">
        <v>20</v>
      </c>
      <c r="C517" s="60"/>
      <c r="D517" s="16">
        <v>0.1</v>
      </c>
      <c r="E517" s="16">
        <v>0.05</v>
      </c>
      <c r="F517" s="16">
        <v>0.1</v>
      </c>
      <c r="G517" s="16">
        <v>0.1</v>
      </c>
      <c r="H517" s="16">
        <v>0.05</v>
      </c>
      <c r="I517" s="17">
        <v>0.1</v>
      </c>
      <c r="J517" s="17">
        <v>0.35</v>
      </c>
      <c r="K517" s="17">
        <v>0.08</v>
      </c>
      <c r="L517" s="17">
        <v>0.02</v>
      </c>
      <c r="M517" s="17">
        <v>0.05</v>
      </c>
      <c r="N517" s="19">
        <v>1</v>
      </c>
      <c r="O517" s="20"/>
      <c r="P517" s="22"/>
      <c r="Q517" s="54"/>
      <c r="R517" s="52"/>
      <c r="S517" s="1"/>
      <c r="T517" s="1"/>
      <c r="U517" s="1"/>
    </row>
    <row r="518" spans="1:21" ht="18" x14ac:dyDescent="0.3">
      <c r="A518" s="1"/>
      <c r="B518" s="23">
        <v>1</v>
      </c>
      <c r="C518" s="24" t="s">
        <v>264</v>
      </c>
      <c r="D518" s="25">
        <v>0.98</v>
      </c>
      <c r="E518" s="25">
        <v>1</v>
      </c>
      <c r="F518" s="25">
        <v>1</v>
      </c>
      <c r="G518" s="25">
        <v>1</v>
      </c>
      <c r="H518" s="25">
        <v>1</v>
      </c>
      <c r="I518" s="25">
        <v>1</v>
      </c>
      <c r="J518" s="25">
        <v>0.8</v>
      </c>
      <c r="K518" s="25">
        <v>1</v>
      </c>
      <c r="L518" s="26">
        <v>0</v>
      </c>
      <c r="M518" s="26">
        <v>0.5</v>
      </c>
      <c r="N518" s="27">
        <v>0.88300000000000001</v>
      </c>
      <c r="O518" s="28">
        <v>0</v>
      </c>
      <c r="P518" s="27">
        <v>0.88300000000000001</v>
      </c>
      <c r="Q518" s="54"/>
      <c r="R518" s="52"/>
      <c r="S518" s="1"/>
      <c r="T518" s="1"/>
      <c r="U518" s="1"/>
    </row>
    <row r="519" spans="1:21" ht="18" x14ac:dyDescent="0.3">
      <c r="A519" s="1"/>
      <c r="B519" s="23">
        <v>2</v>
      </c>
      <c r="C519" s="24" t="s">
        <v>265</v>
      </c>
      <c r="D519" s="25">
        <v>1</v>
      </c>
      <c r="E519" s="25">
        <v>1</v>
      </c>
      <c r="F519" s="25">
        <v>1</v>
      </c>
      <c r="G519" s="25">
        <v>0.98309999999999997</v>
      </c>
      <c r="H519" s="25">
        <v>1</v>
      </c>
      <c r="I519" s="25">
        <v>0.99790000000000001</v>
      </c>
      <c r="J519" s="25">
        <v>1</v>
      </c>
      <c r="K519" s="25">
        <v>0.5</v>
      </c>
      <c r="L519" s="26">
        <v>0</v>
      </c>
      <c r="M519" s="26">
        <v>1</v>
      </c>
      <c r="N519" s="27">
        <v>0.93810000000000004</v>
      </c>
      <c r="O519" s="28">
        <v>0</v>
      </c>
      <c r="P519" s="27">
        <v>0.93810000000000004</v>
      </c>
      <c r="Q519" s="54"/>
      <c r="R519" s="52"/>
      <c r="S519" s="1"/>
      <c r="T519" s="1"/>
      <c r="U519" s="1"/>
    </row>
    <row r="520" spans="1:21" ht="18" x14ac:dyDescent="0.3">
      <c r="A520" s="1"/>
      <c r="B520" s="23">
        <v>3</v>
      </c>
      <c r="C520" s="24" t="s">
        <v>266</v>
      </c>
      <c r="D520" s="25">
        <v>0.98</v>
      </c>
      <c r="E520" s="25">
        <v>1</v>
      </c>
      <c r="F520" s="25">
        <v>0.99480000000000002</v>
      </c>
      <c r="G520" s="25">
        <v>0.97740000000000005</v>
      </c>
      <c r="H520" s="25">
        <v>1</v>
      </c>
      <c r="I520" s="25">
        <v>0.99129999999999996</v>
      </c>
      <c r="J520" s="25">
        <v>1</v>
      </c>
      <c r="K520" s="25">
        <v>1</v>
      </c>
      <c r="L520" s="26">
        <v>0</v>
      </c>
      <c r="M520" s="26">
        <v>1</v>
      </c>
      <c r="N520" s="27">
        <v>0.97430000000000005</v>
      </c>
      <c r="O520" s="28">
        <v>0</v>
      </c>
      <c r="P520" s="27">
        <v>0.97430000000000005</v>
      </c>
      <c r="Q520" s="54"/>
      <c r="R520" s="52"/>
      <c r="S520" s="1"/>
      <c r="T520" s="1"/>
      <c r="U520" s="1"/>
    </row>
    <row r="521" spans="1:21" ht="18" x14ac:dyDescent="0.3">
      <c r="A521" s="1"/>
      <c r="B521" s="23">
        <v>4</v>
      </c>
      <c r="C521" s="24" t="s">
        <v>267</v>
      </c>
      <c r="D521" s="25">
        <v>1</v>
      </c>
      <c r="E521" s="25">
        <v>1</v>
      </c>
      <c r="F521" s="25">
        <v>1</v>
      </c>
      <c r="G521" s="25">
        <v>0.95950000000000002</v>
      </c>
      <c r="H521" s="25">
        <v>1</v>
      </c>
      <c r="I521" s="25">
        <v>0.99229999999999996</v>
      </c>
      <c r="J521" s="25">
        <v>1</v>
      </c>
      <c r="K521" s="25">
        <v>1</v>
      </c>
      <c r="L521" s="26">
        <v>0</v>
      </c>
      <c r="M521" s="26">
        <v>1</v>
      </c>
      <c r="N521" s="27">
        <v>0.97519999999999996</v>
      </c>
      <c r="O521" s="28">
        <v>0</v>
      </c>
      <c r="P521" s="27">
        <v>0.97519999999999996</v>
      </c>
      <c r="Q521" s="54"/>
      <c r="R521" s="52"/>
      <c r="S521" s="1"/>
      <c r="T521" s="1"/>
      <c r="U521" s="1"/>
    </row>
    <row r="522" spans="1:21" ht="18" x14ac:dyDescent="0.3">
      <c r="A522" s="1"/>
      <c r="B522" s="23">
        <v>5</v>
      </c>
      <c r="C522" s="24" t="s">
        <v>268</v>
      </c>
      <c r="D522" s="25">
        <v>0.96</v>
      </c>
      <c r="E522" s="25">
        <v>1</v>
      </c>
      <c r="F522" s="25">
        <v>1</v>
      </c>
      <c r="G522" s="25">
        <v>0.96530000000000005</v>
      </c>
      <c r="H522" s="25">
        <v>1</v>
      </c>
      <c r="I522" s="25">
        <v>0.97019999999999995</v>
      </c>
      <c r="J522" s="25">
        <v>1</v>
      </c>
      <c r="K522" s="25">
        <v>1</v>
      </c>
      <c r="L522" s="26">
        <v>0</v>
      </c>
      <c r="M522" s="26">
        <v>1</v>
      </c>
      <c r="N522" s="27">
        <v>0.96960000000000002</v>
      </c>
      <c r="O522" s="28">
        <v>0</v>
      </c>
      <c r="P522" s="27">
        <v>0.96960000000000002</v>
      </c>
      <c r="Q522" s="54"/>
      <c r="R522" s="52"/>
      <c r="S522" s="1"/>
      <c r="T522" s="1"/>
      <c r="U522" s="1"/>
    </row>
    <row r="523" spans="1:21" ht="18" x14ac:dyDescent="0.3">
      <c r="A523" s="1"/>
      <c r="B523" s="23">
        <v>6</v>
      </c>
      <c r="C523" s="24" t="s">
        <v>269</v>
      </c>
      <c r="D523" s="25">
        <v>1</v>
      </c>
      <c r="E523" s="25">
        <v>1</v>
      </c>
      <c r="F523" s="25">
        <v>1</v>
      </c>
      <c r="G523" s="25">
        <v>1</v>
      </c>
      <c r="H523" s="25">
        <v>1</v>
      </c>
      <c r="I523" s="25">
        <v>1</v>
      </c>
      <c r="J523" s="25">
        <v>0.8</v>
      </c>
      <c r="K523" s="25">
        <v>1</v>
      </c>
      <c r="L523" s="26">
        <v>0</v>
      </c>
      <c r="M523" s="26">
        <v>1</v>
      </c>
      <c r="N523" s="27">
        <v>0.91</v>
      </c>
      <c r="O523" s="28">
        <v>0</v>
      </c>
      <c r="P523" s="27">
        <v>0.91</v>
      </c>
      <c r="Q523" s="54"/>
      <c r="R523" s="52"/>
      <c r="S523" s="1"/>
      <c r="T523" s="1"/>
      <c r="U523" s="1"/>
    </row>
    <row r="524" spans="1:21" x14ac:dyDescent="0.3">
      <c r="A524" s="1"/>
      <c r="B524" s="59" t="s">
        <v>27</v>
      </c>
      <c r="C524" s="60"/>
      <c r="D524" s="31">
        <v>0.99</v>
      </c>
      <c r="E524" s="31">
        <v>1</v>
      </c>
      <c r="F524" s="31">
        <v>1</v>
      </c>
      <c r="G524" s="31">
        <v>0.98</v>
      </c>
      <c r="H524" s="31">
        <v>1</v>
      </c>
      <c r="I524" s="31">
        <v>0.99</v>
      </c>
      <c r="J524" s="31">
        <v>0.93</v>
      </c>
      <c r="K524" s="31">
        <v>0.92</v>
      </c>
      <c r="L524" s="31">
        <v>0</v>
      </c>
      <c r="M524" s="31">
        <v>0.92</v>
      </c>
      <c r="N524" s="31">
        <v>0.94</v>
      </c>
      <c r="O524" s="31">
        <v>0</v>
      </c>
      <c r="P524" s="31">
        <v>0.94</v>
      </c>
      <c r="Q524" s="54"/>
      <c r="R524" s="52"/>
      <c r="S524" s="1"/>
      <c r="T524" s="1"/>
      <c r="U524" s="1"/>
    </row>
    <row r="525" spans="1:2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52"/>
      <c r="R525" s="52"/>
      <c r="S525" s="1"/>
      <c r="T525" s="1"/>
      <c r="U525" s="1"/>
    </row>
    <row r="526" spans="1:2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52"/>
      <c r="R526" s="52"/>
      <c r="S526" s="1"/>
      <c r="T526" s="1"/>
      <c r="U526" s="1"/>
    </row>
    <row r="527" spans="1:21" ht="15.6" x14ac:dyDescent="0.3">
      <c r="A527" s="1"/>
      <c r="B527" s="3"/>
      <c r="C527" s="4" t="s">
        <v>270</v>
      </c>
      <c r="D527" s="3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5" t="s">
        <v>2</v>
      </c>
      <c r="Q527" s="54"/>
      <c r="R527" s="52"/>
      <c r="S527" s="1"/>
      <c r="T527" s="1"/>
      <c r="U527" s="1"/>
    </row>
    <row r="528" spans="1:21" ht="15.6" x14ac:dyDescent="0.3">
      <c r="A528" s="1"/>
      <c r="B528" s="3"/>
      <c r="C528" s="6">
        <v>46174</v>
      </c>
      <c r="D528" s="3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7">
        <v>0.93</v>
      </c>
      <c r="Q528" s="54"/>
      <c r="R528" s="52"/>
      <c r="S528" s="1"/>
      <c r="T528" s="1"/>
      <c r="U528" s="1"/>
    </row>
    <row r="529" spans="1:21" ht="42" x14ac:dyDescent="0.3">
      <c r="A529" s="1"/>
      <c r="B529" s="55" t="s">
        <v>3</v>
      </c>
      <c r="C529" s="55" t="s">
        <v>4</v>
      </c>
      <c r="D529" s="8" t="s">
        <v>5</v>
      </c>
      <c r="E529" s="8" t="s">
        <v>6</v>
      </c>
      <c r="F529" s="9" t="s">
        <v>7</v>
      </c>
      <c r="G529" s="9" t="s">
        <v>8</v>
      </c>
      <c r="H529" s="9" t="s">
        <v>9</v>
      </c>
      <c r="I529" s="10" t="s">
        <v>10</v>
      </c>
      <c r="J529" s="10" t="s">
        <v>11</v>
      </c>
      <c r="K529" s="11" t="s">
        <v>12</v>
      </c>
      <c r="L529" s="10" t="s">
        <v>13</v>
      </c>
      <c r="M529" s="11" t="s">
        <v>14</v>
      </c>
      <c r="N529" s="12" t="s">
        <v>15</v>
      </c>
      <c r="O529" s="57" t="s">
        <v>16</v>
      </c>
      <c r="P529" s="57" t="s">
        <v>17</v>
      </c>
      <c r="Q529" s="54"/>
      <c r="R529" s="52"/>
      <c r="S529" s="1"/>
      <c r="T529" s="1"/>
      <c r="U529" s="1"/>
    </row>
    <row r="530" spans="1:21" x14ac:dyDescent="0.3">
      <c r="A530" s="1"/>
      <c r="B530" s="56"/>
      <c r="C530" s="56"/>
      <c r="D530" s="13" t="s">
        <v>18</v>
      </c>
      <c r="E530" s="13" t="s">
        <v>18</v>
      </c>
      <c r="F530" s="13" t="s">
        <v>18</v>
      </c>
      <c r="G530" s="13" t="s">
        <v>18</v>
      </c>
      <c r="H530" s="13" t="s">
        <v>18</v>
      </c>
      <c r="I530" s="13" t="s">
        <v>18</v>
      </c>
      <c r="J530" s="13" t="s">
        <v>18</v>
      </c>
      <c r="K530" s="13" t="s">
        <v>18</v>
      </c>
      <c r="L530" s="13" t="s">
        <v>18</v>
      </c>
      <c r="M530" s="13" t="s">
        <v>18</v>
      </c>
      <c r="N530" s="14" t="s">
        <v>29</v>
      </c>
      <c r="O530" s="58"/>
      <c r="P530" s="58"/>
      <c r="Q530" s="54"/>
      <c r="R530" s="52"/>
      <c r="S530" s="1"/>
      <c r="T530" s="1"/>
      <c r="U530" s="1"/>
    </row>
    <row r="531" spans="1:21" x14ac:dyDescent="0.3">
      <c r="A531" s="1"/>
      <c r="B531" s="59" t="s">
        <v>20</v>
      </c>
      <c r="C531" s="60"/>
      <c r="D531" s="16">
        <v>0.1</v>
      </c>
      <c r="E531" s="16">
        <v>0.05</v>
      </c>
      <c r="F531" s="16">
        <v>0.1</v>
      </c>
      <c r="G531" s="16">
        <v>0.1</v>
      </c>
      <c r="H531" s="16">
        <v>0.05</v>
      </c>
      <c r="I531" s="17">
        <v>0.1</v>
      </c>
      <c r="J531" s="17">
        <v>0.35</v>
      </c>
      <c r="K531" s="17">
        <v>0.08</v>
      </c>
      <c r="L531" s="17">
        <v>0.02</v>
      </c>
      <c r="M531" s="17">
        <v>0.05</v>
      </c>
      <c r="N531" s="19">
        <v>1</v>
      </c>
      <c r="O531" s="20"/>
      <c r="P531" s="22"/>
      <c r="Q531" s="54"/>
      <c r="R531" s="52"/>
      <c r="S531" s="1"/>
      <c r="T531" s="1"/>
      <c r="U531" s="1"/>
    </row>
    <row r="532" spans="1:21" ht="18" x14ac:dyDescent="0.3">
      <c r="A532" s="1"/>
      <c r="B532" s="23">
        <v>1</v>
      </c>
      <c r="C532" s="24" t="s">
        <v>271</v>
      </c>
      <c r="D532" s="25">
        <v>1</v>
      </c>
      <c r="E532" s="25">
        <v>1</v>
      </c>
      <c r="F532" s="25">
        <v>1</v>
      </c>
      <c r="G532" s="25">
        <v>1</v>
      </c>
      <c r="H532" s="25">
        <v>1</v>
      </c>
      <c r="I532" s="25">
        <v>1</v>
      </c>
      <c r="J532" s="25">
        <v>1</v>
      </c>
      <c r="K532" s="25">
        <v>0.5</v>
      </c>
      <c r="L532" s="26">
        <v>1</v>
      </c>
      <c r="M532" s="26">
        <v>1</v>
      </c>
      <c r="N532" s="27">
        <v>0.96</v>
      </c>
      <c r="O532" s="28">
        <v>0</v>
      </c>
      <c r="P532" s="27">
        <v>0.96</v>
      </c>
      <c r="Q532" s="54"/>
      <c r="R532" s="52"/>
      <c r="S532" s="1"/>
      <c r="T532" s="1"/>
      <c r="U532" s="1"/>
    </row>
    <row r="533" spans="1:21" ht="18" x14ac:dyDescent="0.3">
      <c r="A533" s="1"/>
      <c r="B533" s="23">
        <v>2</v>
      </c>
      <c r="C533" s="24" t="s">
        <v>272</v>
      </c>
      <c r="D533" s="25">
        <v>0.98</v>
      </c>
      <c r="E533" s="25">
        <v>1</v>
      </c>
      <c r="F533" s="25">
        <v>1</v>
      </c>
      <c r="G533" s="25">
        <v>0.93979999999999997</v>
      </c>
      <c r="H533" s="25">
        <v>1</v>
      </c>
      <c r="I533" s="25">
        <v>0.97219999999999995</v>
      </c>
      <c r="J533" s="25">
        <v>0.8</v>
      </c>
      <c r="K533" s="25">
        <v>1</v>
      </c>
      <c r="L533" s="26">
        <v>0</v>
      </c>
      <c r="M533" s="26">
        <v>1</v>
      </c>
      <c r="N533" s="27">
        <v>0.8992</v>
      </c>
      <c r="O533" s="28">
        <v>0</v>
      </c>
      <c r="P533" s="27">
        <v>0.8992</v>
      </c>
      <c r="Q533" s="54"/>
      <c r="R533" s="52"/>
      <c r="S533" s="1"/>
      <c r="T533" s="1"/>
      <c r="U533" s="1"/>
    </row>
    <row r="534" spans="1:21" ht="18" x14ac:dyDescent="0.3">
      <c r="A534" s="1"/>
      <c r="B534" s="23">
        <v>3</v>
      </c>
      <c r="C534" s="24" t="s">
        <v>273</v>
      </c>
      <c r="D534" s="25">
        <v>0.98</v>
      </c>
      <c r="E534" s="25">
        <v>1</v>
      </c>
      <c r="F534" s="25">
        <v>1</v>
      </c>
      <c r="G534" s="25">
        <v>0.91090000000000004</v>
      </c>
      <c r="H534" s="25">
        <v>0</v>
      </c>
      <c r="I534" s="25">
        <v>1</v>
      </c>
      <c r="J534" s="25">
        <v>1</v>
      </c>
      <c r="K534" s="25">
        <v>0</v>
      </c>
      <c r="L534" s="26">
        <v>1</v>
      </c>
      <c r="M534" s="26">
        <v>1</v>
      </c>
      <c r="N534" s="27">
        <v>0.85909999999999997</v>
      </c>
      <c r="O534" s="28">
        <v>0</v>
      </c>
      <c r="P534" s="27">
        <v>0.85909999999999997</v>
      </c>
      <c r="Q534" s="54"/>
      <c r="R534" s="52"/>
      <c r="S534" s="1"/>
      <c r="T534" s="1"/>
      <c r="U534" s="1"/>
    </row>
    <row r="535" spans="1:21" ht="18" x14ac:dyDescent="0.3">
      <c r="A535" s="1"/>
      <c r="B535" s="23">
        <v>4</v>
      </c>
      <c r="C535" s="24" t="s">
        <v>274</v>
      </c>
      <c r="D535" s="25">
        <v>0.98</v>
      </c>
      <c r="E535" s="25">
        <v>1</v>
      </c>
      <c r="F535" s="25">
        <v>1</v>
      </c>
      <c r="G535" s="25">
        <v>1</v>
      </c>
      <c r="H535" s="25">
        <v>1</v>
      </c>
      <c r="I535" s="25">
        <v>0.97270000000000001</v>
      </c>
      <c r="J535" s="25">
        <v>1</v>
      </c>
      <c r="K535" s="25">
        <v>1</v>
      </c>
      <c r="L535" s="26">
        <v>0</v>
      </c>
      <c r="M535" s="26">
        <v>0.75</v>
      </c>
      <c r="N535" s="27">
        <v>0.96279999999999999</v>
      </c>
      <c r="O535" s="28">
        <v>0</v>
      </c>
      <c r="P535" s="27">
        <v>0.96279999999999999</v>
      </c>
      <c r="Q535" s="54"/>
      <c r="R535" s="52"/>
      <c r="S535" s="1"/>
      <c r="T535" s="1"/>
      <c r="U535" s="1"/>
    </row>
    <row r="536" spans="1:21" ht="18" x14ac:dyDescent="0.3">
      <c r="A536" s="1"/>
      <c r="B536" s="23">
        <v>5</v>
      </c>
      <c r="C536" s="24" t="s">
        <v>275</v>
      </c>
      <c r="D536" s="25">
        <v>1</v>
      </c>
      <c r="E536" s="25">
        <v>1</v>
      </c>
      <c r="F536" s="25">
        <v>1</v>
      </c>
      <c r="G536" s="25">
        <v>1</v>
      </c>
      <c r="H536" s="25">
        <v>1</v>
      </c>
      <c r="I536" s="25">
        <v>1</v>
      </c>
      <c r="J536" s="25">
        <v>0.8</v>
      </c>
      <c r="K536" s="25">
        <v>1</v>
      </c>
      <c r="L536" s="26">
        <v>1</v>
      </c>
      <c r="M536" s="26">
        <v>0.75</v>
      </c>
      <c r="N536" s="27">
        <v>0.91749999999999998</v>
      </c>
      <c r="O536" s="28">
        <v>0</v>
      </c>
      <c r="P536" s="27">
        <v>0.91749999999999998</v>
      </c>
      <c r="Q536" s="54"/>
      <c r="R536" s="52"/>
      <c r="S536" s="1"/>
      <c r="T536" s="1"/>
      <c r="U536" s="1"/>
    </row>
    <row r="537" spans="1:21" ht="18" x14ac:dyDescent="0.3">
      <c r="A537" s="1"/>
      <c r="B537" s="23">
        <v>6</v>
      </c>
      <c r="C537" s="24" t="s">
        <v>276</v>
      </c>
      <c r="D537" s="25">
        <v>0.98</v>
      </c>
      <c r="E537" s="25">
        <v>0.98</v>
      </c>
      <c r="F537" s="25">
        <v>0.96499999999999997</v>
      </c>
      <c r="G537" s="25">
        <v>1</v>
      </c>
      <c r="H537" s="25">
        <v>1</v>
      </c>
      <c r="I537" s="25">
        <v>1</v>
      </c>
      <c r="J537" s="25">
        <v>1</v>
      </c>
      <c r="K537" s="25">
        <v>1</v>
      </c>
      <c r="L537" s="26">
        <v>0</v>
      </c>
      <c r="M537" s="26">
        <v>1</v>
      </c>
      <c r="N537" s="27">
        <v>0.97350000000000003</v>
      </c>
      <c r="O537" s="28">
        <v>0</v>
      </c>
      <c r="P537" s="27">
        <v>0.97350000000000003</v>
      </c>
      <c r="Q537" s="54"/>
      <c r="R537" s="52"/>
      <c r="S537" s="1"/>
      <c r="T537" s="1"/>
      <c r="U537" s="1"/>
    </row>
    <row r="538" spans="1:21" x14ac:dyDescent="0.3">
      <c r="A538" s="1"/>
      <c r="B538" s="59" t="s">
        <v>27</v>
      </c>
      <c r="C538" s="60"/>
      <c r="D538" s="31">
        <v>0.99</v>
      </c>
      <c r="E538" s="31">
        <v>1</v>
      </c>
      <c r="F538" s="31">
        <v>0.99</v>
      </c>
      <c r="G538" s="31">
        <v>0.98</v>
      </c>
      <c r="H538" s="31">
        <v>0.83</v>
      </c>
      <c r="I538" s="31">
        <v>0.99</v>
      </c>
      <c r="J538" s="31">
        <v>0.93</v>
      </c>
      <c r="K538" s="31">
        <v>0.75</v>
      </c>
      <c r="L538" s="31">
        <v>0.5</v>
      </c>
      <c r="M538" s="31">
        <v>0.92</v>
      </c>
      <c r="N538" s="31">
        <v>0.93</v>
      </c>
      <c r="O538" s="31">
        <v>0</v>
      </c>
      <c r="P538" s="31">
        <v>0.93</v>
      </c>
      <c r="Q538" s="54"/>
      <c r="R538" s="52"/>
      <c r="S538" s="1"/>
      <c r="T538" s="1"/>
      <c r="U538" s="1"/>
    </row>
    <row r="539" spans="1:2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52"/>
      <c r="R539" s="52"/>
      <c r="S539" s="1"/>
      <c r="T539" s="1"/>
      <c r="U539" s="1"/>
    </row>
    <row r="540" spans="1:2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52"/>
      <c r="R540" s="52"/>
      <c r="S540" s="1"/>
      <c r="T540" s="1"/>
      <c r="U540" s="1"/>
    </row>
    <row r="541" spans="1:21" ht="15.6" x14ac:dyDescent="0.3">
      <c r="A541" s="1"/>
      <c r="B541" s="3"/>
      <c r="C541" s="4" t="s">
        <v>277</v>
      </c>
      <c r="D541" s="3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5" t="s">
        <v>2</v>
      </c>
      <c r="Q541" s="54"/>
      <c r="R541" s="52"/>
      <c r="S541" s="1"/>
      <c r="T541" s="1"/>
      <c r="U541" s="1"/>
    </row>
    <row r="542" spans="1:21" ht="15.6" x14ac:dyDescent="0.3">
      <c r="A542" s="1"/>
      <c r="B542" s="3"/>
      <c r="C542" s="6">
        <v>46174</v>
      </c>
      <c r="D542" s="3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7">
        <v>0.9</v>
      </c>
      <c r="Q542" s="54"/>
      <c r="R542" s="52"/>
      <c r="S542" s="1"/>
      <c r="T542" s="1"/>
      <c r="U542" s="1"/>
    </row>
    <row r="543" spans="1:21" ht="42" x14ac:dyDescent="0.3">
      <c r="A543" s="1"/>
      <c r="B543" s="55" t="s">
        <v>3</v>
      </c>
      <c r="C543" s="55" t="s">
        <v>4</v>
      </c>
      <c r="D543" s="8" t="s">
        <v>5</v>
      </c>
      <c r="E543" s="8" t="s">
        <v>6</v>
      </c>
      <c r="F543" s="9" t="s">
        <v>7</v>
      </c>
      <c r="G543" s="9" t="s">
        <v>8</v>
      </c>
      <c r="H543" s="9" t="s">
        <v>9</v>
      </c>
      <c r="I543" s="10" t="s">
        <v>10</v>
      </c>
      <c r="J543" s="10" t="s">
        <v>11</v>
      </c>
      <c r="K543" s="11" t="s">
        <v>12</v>
      </c>
      <c r="L543" s="10" t="s">
        <v>13</v>
      </c>
      <c r="M543" s="11" t="s">
        <v>14</v>
      </c>
      <c r="N543" s="12" t="s">
        <v>15</v>
      </c>
      <c r="O543" s="57" t="s">
        <v>16</v>
      </c>
      <c r="P543" s="57" t="s">
        <v>17</v>
      </c>
      <c r="Q543" s="54"/>
      <c r="R543" s="52"/>
      <c r="S543" s="1"/>
      <c r="T543" s="1"/>
      <c r="U543" s="1"/>
    </row>
    <row r="544" spans="1:21" x14ac:dyDescent="0.3">
      <c r="A544" s="1"/>
      <c r="B544" s="56"/>
      <c r="C544" s="56"/>
      <c r="D544" s="13" t="s">
        <v>18</v>
      </c>
      <c r="E544" s="13" t="s">
        <v>18</v>
      </c>
      <c r="F544" s="13" t="s">
        <v>18</v>
      </c>
      <c r="G544" s="13" t="s">
        <v>18</v>
      </c>
      <c r="H544" s="13" t="s">
        <v>18</v>
      </c>
      <c r="I544" s="13" t="s">
        <v>18</v>
      </c>
      <c r="J544" s="13" t="s">
        <v>18</v>
      </c>
      <c r="K544" s="13" t="s">
        <v>18</v>
      </c>
      <c r="L544" s="13" t="s">
        <v>18</v>
      </c>
      <c r="M544" s="13" t="s">
        <v>18</v>
      </c>
      <c r="N544" s="14" t="s">
        <v>29</v>
      </c>
      <c r="O544" s="58"/>
      <c r="P544" s="58"/>
      <c r="Q544" s="54"/>
      <c r="R544" s="52"/>
      <c r="S544" s="1"/>
      <c r="T544" s="1"/>
      <c r="U544" s="1"/>
    </row>
    <row r="545" spans="1:21" x14ac:dyDescent="0.3">
      <c r="A545" s="21"/>
      <c r="B545" s="59" t="s">
        <v>20</v>
      </c>
      <c r="C545" s="60"/>
      <c r="D545" s="16">
        <v>0.1</v>
      </c>
      <c r="E545" s="16">
        <v>0.05</v>
      </c>
      <c r="F545" s="16">
        <v>0.1</v>
      </c>
      <c r="G545" s="16">
        <v>0.1</v>
      </c>
      <c r="H545" s="16">
        <v>0.05</v>
      </c>
      <c r="I545" s="17">
        <v>0.1</v>
      </c>
      <c r="J545" s="17">
        <v>0.35</v>
      </c>
      <c r="K545" s="17">
        <v>0.08</v>
      </c>
      <c r="L545" s="17">
        <v>0.02</v>
      </c>
      <c r="M545" s="17">
        <v>0.05</v>
      </c>
      <c r="N545" s="19">
        <v>1</v>
      </c>
      <c r="O545" s="20"/>
      <c r="P545" s="22"/>
      <c r="Q545" s="62"/>
      <c r="R545" s="61"/>
      <c r="S545" s="21"/>
      <c r="T545" s="21"/>
      <c r="U545" s="21"/>
    </row>
    <row r="546" spans="1:21" ht="18" x14ac:dyDescent="0.3">
      <c r="A546" s="21"/>
      <c r="B546" s="15"/>
      <c r="C546" s="24" t="s">
        <v>278</v>
      </c>
      <c r="D546" s="25">
        <v>1</v>
      </c>
      <c r="E546" s="25">
        <v>1</v>
      </c>
      <c r="F546" s="25">
        <v>1</v>
      </c>
      <c r="G546" s="25">
        <v>1</v>
      </c>
      <c r="H546" s="25">
        <v>1</v>
      </c>
      <c r="I546" s="25">
        <v>1</v>
      </c>
      <c r="J546" s="25">
        <v>1</v>
      </c>
      <c r="K546" s="25">
        <v>0.5</v>
      </c>
      <c r="L546" s="26">
        <v>0</v>
      </c>
      <c r="M546" s="26">
        <v>0.75</v>
      </c>
      <c r="N546" s="27">
        <v>0.92749999999999999</v>
      </c>
      <c r="O546" s="28">
        <v>0</v>
      </c>
      <c r="P546" s="27">
        <v>0.92749999999999999</v>
      </c>
      <c r="Q546" s="62"/>
      <c r="R546" s="61"/>
      <c r="S546" s="21"/>
      <c r="T546" s="21"/>
      <c r="U546" s="21"/>
    </row>
    <row r="547" spans="1:21" ht="18" x14ac:dyDescent="0.3">
      <c r="A547" s="21"/>
      <c r="B547" s="23">
        <v>1</v>
      </c>
      <c r="C547" s="24" t="s">
        <v>279</v>
      </c>
      <c r="D547" s="25">
        <v>0.98</v>
      </c>
      <c r="E547" s="25">
        <v>1</v>
      </c>
      <c r="F547" s="25">
        <v>0.98899999999999999</v>
      </c>
      <c r="G547" s="25">
        <v>1</v>
      </c>
      <c r="H547" s="25">
        <v>1</v>
      </c>
      <c r="I547" s="25">
        <v>1</v>
      </c>
      <c r="J547" s="25">
        <v>1</v>
      </c>
      <c r="K547" s="25">
        <v>0.5</v>
      </c>
      <c r="L547" s="26">
        <v>0</v>
      </c>
      <c r="M547" s="26">
        <v>0.5</v>
      </c>
      <c r="N547" s="27">
        <v>0.91190000000000004</v>
      </c>
      <c r="O547" s="28">
        <v>0</v>
      </c>
      <c r="P547" s="27">
        <v>0.91190000000000004</v>
      </c>
      <c r="Q547" s="62"/>
      <c r="R547" s="61"/>
      <c r="S547" s="21"/>
      <c r="T547" s="21"/>
      <c r="U547" s="21"/>
    </row>
    <row r="548" spans="1:21" ht="18" x14ac:dyDescent="0.3">
      <c r="A548" s="21"/>
      <c r="B548" s="23"/>
      <c r="C548" s="24" t="s">
        <v>280</v>
      </c>
      <c r="D548" s="25">
        <v>0.98</v>
      </c>
      <c r="E548" s="25">
        <v>1</v>
      </c>
      <c r="F548" s="25">
        <v>1</v>
      </c>
      <c r="G548" s="25">
        <v>1</v>
      </c>
      <c r="H548" s="25">
        <v>1</v>
      </c>
      <c r="I548" s="25">
        <v>0.99399999999999999</v>
      </c>
      <c r="J548" s="25">
        <v>0.8</v>
      </c>
      <c r="K548" s="25">
        <v>1</v>
      </c>
      <c r="L548" s="26">
        <v>0</v>
      </c>
      <c r="M548" s="26">
        <v>0.5</v>
      </c>
      <c r="N548" s="27">
        <v>0.88239999999999996</v>
      </c>
      <c r="O548" s="28">
        <v>0</v>
      </c>
      <c r="P548" s="27">
        <v>0.88239999999999996</v>
      </c>
      <c r="Q548" s="62"/>
      <c r="R548" s="61"/>
      <c r="S548" s="21"/>
      <c r="T548" s="21"/>
      <c r="U548" s="21"/>
    </row>
    <row r="549" spans="1:21" ht="18" x14ac:dyDescent="0.3">
      <c r="A549" s="1"/>
      <c r="B549" s="23">
        <v>2</v>
      </c>
      <c r="C549" s="24" t="s">
        <v>281</v>
      </c>
      <c r="D549" s="25">
        <v>0.98</v>
      </c>
      <c r="E549" s="25">
        <v>0.98</v>
      </c>
      <c r="F549" s="25">
        <v>1</v>
      </c>
      <c r="G549" s="25">
        <v>0.85499999999999998</v>
      </c>
      <c r="H549" s="25">
        <v>1</v>
      </c>
      <c r="I549" s="25">
        <v>0.97660000000000002</v>
      </c>
      <c r="J549" s="25">
        <v>0.8</v>
      </c>
      <c r="K549" s="25">
        <v>0</v>
      </c>
      <c r="L549" s="26">
        <v>0</v>
      </c>
      <c r="M549" s="26">
        <v>0.5</v>
      </c>
      <c r="N549" s="27">
        <v>0.78520000000000001</v>
      </c>
      <c r="O549" s="28">
        <v>0</v>
      </c>
      <c r="P549" s="27">
        <v>0.78520000000000001</v>
      </c>
      <c r="Q549" s="54"/>
      <c r="R549" s="52"/>
      <c r="S549" s="1"/>
      <c r="T549" s="1"/>
      <c r="U549" s="1"/>
    </row>
    <row r="550" spans="1:21" ht="18" x14ac:dyDescent="0.3">
      <c r="A550" s="1"/>
      <c r="B550" s="23">
        <v>3</v>
      </c>
      <c r="C550" s="24" t="s">
        <v>282</v>
      </c>
      <c r="D550" s="25">
        <v>1</v>
      </c>
      <c r="E550" s="25">
        <v>1</v>
      </c>
      <c r="F550" s="25">
        <v>1</v>
      </c>
      <c r="G550" s="25">
        <v>1</v>
      </c>
      <c r="H550" s="25">
        <v>1</v>
      </c>
      <c r="I550" s="25">
        <v>0.99350000000000005</v>
      </c>
      <c r="J550" s="25">
        <v>1</v>
      </c>
      <c r="K550" s="25">
        <v>1</v>
      </c>
      <c r="L550" s="26">
        <v>0</v>
      </c>
      <c r="M550" s="26">
        <v>0.5</v>
      </c>
      <c r="N550" s="27">
        <v>0.95440000000000003</v>
      </c>
      <c r="O550" s="28">
        <v>0</v>
      </c>
      <c r="P550" s="27">
        <v>0.95440000000000003</v>
      </c>
      <c r="Q550" s="54"/>
      <c r="R550" s="52"/>
      <c r="S550" s="1"/>
      <c r="T550" s="1"/>
      <c r="U550" s="1"/>
    </row>
    <row r="551" spans="1:21" ht="18" x14ac:dyDescent="0.3">
      <c r="A551" s="1"/>
      <c r="B551" s="23">
        <v>4</v>
      </c>
      <c r="C551" s="24" t="s">
        <v>283</v>
      </c>
      <c r="D551" s="25">
        <v>1</v>
      </c>
      <c r="E551" s="25">
        <v>1</v>
      </c>
      <c r="F551" s="25">
        <v>1</v>
      </c>
      <c r="G551" s="25">
        <v>1</v>
      </c>
      <c r="H551" s="25">
        <v>1</v>
      </c>
      <c r="I551" s="25">
        <v>1</v>
      </c>
      <c r="J551" s="25">
        <v>1</v>
      </c>
      <c r="K551" s="25">
        <v>1</v>
      </c>
      <c r="L551" s="26">
        <v>0</v>
      </c>
      <c r="M551" s="26">
        <v>0.5</v>
      </c>
      <c r="N551" s="27">
        <v>0.95499999999999996</v>
      </c>
      <c r="O551" s="28">
        <v>0</v>
      </c>
      <c r="P551" s="27">
        <v>0.95499999999999996</v>
      </c>
      <c r="Q551" s="54"/>
      <c r="R551" s="52"/>
      <c r="S551" s="1"/>
      <c r="T551" s="1"/>
      <c r="U551" s="1"/>
    </row>
    <row r="552" spans="1:21" x14ac:dyDescent="0.3">
      <c r="A552" s="1"/>
      <c r="B552" s="59" t="s">
        <v>27</v>
      </c>
      <c r="C552" s="60"/>
      <c r="D552" s="31">
        <v>0.99</v>
      </c>
      <c r="E552" s="31">
        <v>1</v>
      </c>
      <c r="F552" s="31">
        <v>1</v>
      </c>
      <c r="G552" s="31">
        <v>0.98</v>
      </c>
      <c r="H552" s="31">
        <v>1</v>
      </c>
      <c r="I552" s="31">
        <v>0.99</v>
      </c>
      <c r="J552" s="31">
        <v>0.93</v>
      </c>
      <c r="K552" s="31">
        <v>0.67</v>
      </c>
      <c r="L552" s="31">
        <v>0</v>
      </c>
      <c r="M552" s="31">
        <v>0.54</v>
      </c>
      <c r="N552" s="31">
        <v>0.9</v>
      </c>
      <c r="O552" s="31">
        <v>0</v>
      </c>
      <c r="P552" s="31">
        <v>0.9</v>
      </c>
      <c r="Q552" s="54"/>
      <c r="R552" s="52"/>
      <c r="S552" s="1"/>
      <c r="T552" s="1"/>
      <c r="U552" s="1"/>
    </row>
    <row r="553" spans="1:2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52"/>
      <c r="R553" s="52"/>
      <c r="S553" s="1"/>
      <c r="T553" s="1"/>
      <c r="U553" s="1"/>
    </row>
    <row r="554" spans="1:2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52"/>
      <c r="R554" s="52"/>
      <c r="S554" s="1"/>
      <c r="T554" s="1"/>
      <c r="U554" s="1"/>
    </row>
    <row r="555" spans="1:21" ht="15.6" x14ac:dyDescent="0.3">
      <c r="A555" s="1"/>
      <c r="B555" s="3"/>
      <c r="C555" s="4" t="s">
        <v>284</v>
      </c>
      <c r="D555" s="3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5" t="s">
        <v>2</v>
      </c>
      <c r="Q555" s="54"/>
      <c r="R555" s="52"/>
      <c r="S555" s="1"/>
      <c r="T555" s="1"/>
      <c r="U555" s="1"/>
    </row>
    <row r="556" spans="1:21" ht="15.6" x14ac:dyDescent="0.3">
      <c r="A556" s="1"/>
      <c r="B556" s="3"/>
      <c r="C556" s="6">
        <v>46174</v>
      </c>
      <c r="D556" s="3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7">
        <v>0.94</v>
      </c>
      <c r="Q556" s="54"/>
      <c r="R556" s="52"/>
      <c r="S556" s="1"/>
      <c r="T556" s="1"/>
      <c r="U556" s="1"/>
    </row>
    <row r="557" spans="1:21" ht="42" x14ac:dyDescent="0.3">
      <c r="A557" s="1"/>
      <c r="B557" s="55" t="s">
        <v>3</v>
      </c>
      <c r="C557" s="55" t="s">
        <v>4</v>
      </c>
      <c r="D557" s="8" t="s">
        <v>5</v>
      </c>
      <c r="E557" s="8" t="s">
        <v>6</v>
      </c>
      <c r="F557" s="9" t="s">
        <v>7</v>
      </c>
      <c r="G557" s="9" t="s">
        <v>8</v>
      </c>
      <c r="H557" s="9" t="s">
        <v>9</v>
      </c>
      <c r="I557" s="10" t="s">
        <v>10</v>
      </c>
      <c r="J557" s="10" t="s">
        <v>11</v>
      </c>
      <c r="K557" s="11" t="s">
        <v>12</v>
      </c>
      <c r="L557" s="10" t="s">
        <v>13</v>
      </c>
      <c r="M557" s="11" t="s">
        <v>14</v>
      </c>
      <c r="N557" s="12" t="s">
        <v>15</v>
      </c>
      <c r="O557" s="57" t="s">
        <v>16</v>
      </c>
      <c r="P557" s="57" t="s">
        <v>17</v>
      </c>
      <c r="Q557" s="54"/>
      <c r="R557" s="52"/>
      <c r="S557" s="1"/>
      <c r="T557" s="1"/>
      <c r="U557" s="1"/>
    </row>
    <row r="558" spans="1:21" x14ac:dyDescent="0.3">
      <c r="A558" s="1"/>
      <c r="B558" s="56"/>
      <c r="C558" s="56"/>
      <c r="D558" s="13" t="s">
        <v>18</v>
      </c>
      <c r="E558" s="13" t="s">
        <v>18</v>
      </c>
      <c r="F558" s="13" t="s">
        <v>18</v>
      </c>
      <c r="G558" s="13" t="s">
        <v>18</v>
      </c>
      <c r="H558" s="13" t="s">
        <v>18</v>
      </c>
      <c r="I558" s="13" t="s">
        <v>18</v>
      </c>
      <c r="J558" s="13" t="s">
        <v>18</v>
      </c>
      <c r="K558" s="13" t="s">
        <v>18</v>
      </c>
      <c r="L558" s="13" t="s">
        <v>18</v>
      </c>
      <c r="M558" s="13" t="s">
        <v>18</v>
      </c>
      <c r="N558" s="14" t="s">
        <v>29</v>
      </c>
      <c r="O558" s="58"/>
      <c r="P558" s="58"/>
      <c r="Q558" s="54"/>
      <c r="R558" s="52"/>
      <c r="S558" s="1"/>
      <c r="T558" s="1"/>
      <c r="U558" s="1"/>
    </row>
    <row r="559" spans="1:21" x14ac:dyDescent="0.3">
      <c r="A559" s="1"/>
      <c r="B559" s="59" t="s">
        <v>20</v>
      </c>
      <c r="C559" s="60"/>
      <c r="D559" s="16">
        <v>0.1</v>
      </c>
      <c r="E559" s="16">
        <v>0.05</v>
      </c>
      <c r="F559" s="16">
        <v>0.1</v>
      </c>
      <c r="G559" s="16">
        <v>0.1</v>
      </c>
      <c r="H559" s="16">
        <v>0.05</v>
      </c>
      <c r="I559" s="17">
        <v>0.1</v>
      </c>
      <c r="J559" s="17">
        <v>0.35</v>
      </c>
      <c r="K559" s="17">
        <v>0.08</v>
      </c>
      <c r="L559" s="17">
        <v>0.02</v>
      </c>
      <c r="M559" s="17">
        <v>0.05</v>
      </c>
      <c r="N559" s="19">
        <v>1</v>
      </c>
      <c r="O559" s="20"/>
      <c r="P559" s="22"/>
      <c r="Q559" s="54"/>
      <c r="R559" s="52"/>
      <c r="S559" s="1"/>
      <c r="T559" s="1"/>
      <c r="U559" s="1"/>
    </row>
    <row r="560" spans="1:21" ht="18" x14ac:dyDescent="0.3">
      <c r="A560" s="1"/>
      <c r="B560" s="23">
        <v>1</v>
      </c>
      <c r="C560" s="24" t="s">
        <v>285</v>
      </c>
      <c r="D560" s="25">
        <v>1</v>
      </c>
      <c r="E560" s="25">
        <v>1</v>
      </c>
      <c r="F560" s="25">
        <v>1</v>
      </c>
      <c r="G560" s="25">
        <v>1</v>
      </c>
      <c r="H560" s="25">
        <v>1</v>
      </c>
      <c r="I560" s="25">
        <v>1</v>
      </c>
      <c r="J560" s="25">
        <v>1</v>
      </c>
      <c r="K560" s="25">
        <v>1</v>
      </c>
      <c r="L560" s="26">
        <v>0</v>
      </c>
      <c r="M560" s="26">
        <v>1</v>
      </c>
      <c r="N560" s="27">
        <v>0.98</v>
      </c>
      <c r="O560" s="28">
        <v>0</v>
      </c>
      <c r="P560" s="27">
        <v>0.98</v>
      </c>
      <c r="Q560" s="54"/>
      <c r="R560" s="52"/>
      <c r="S560" s="1"/>
      <c r="T560" s="1"/>
      <c r="U560" s="1"/>
    </row>
    <row r="561" spans="1:21" ht="18" x14ac:dyDescent="0.3">
      <c r="A561" s="1"/>
      <c r="B561" s="23">
        <v>2</v>
      </c>
      <c r="C561" s="24" t="s">
        <v>286</v>
      </c>
      <c r="D561" s="25">
        <v>1</v>
      </c>
      <c r="E561" s="25">
        <v>1</v>
      </c>
      <c r="F561" s="25">
        <v>1</v>
      </c>
      <c r="G561" s="25">
        <v>0.96519999999999995</v>
      </c>
      <c r="H561" s="25">
        <v>1</v>
      </c>
      <c r="I561" s="25">
        <v>1</v>
      </c>
      <c r="J561" s="25">
        <v>1</v>
      </c>
      <c r="K561" s="25">
        <v>1</v>
      </c>
      <c r="L561" s="26">
        <v>0</v>
      </c>
      <c r="M561" s="26">
        <v>1</v>
      </c>
      <c r="N561" s="27">
        <v>0.97650000000000003</v>
      </c>
      <c r="O561" s="28">
        <v>0</v>
      </c>
      <c r="P561" s="27">
        <v>0.97650000000000003</v>
      </c>
      <c r="Q561" s="54"/>
      <c r="R561" s="52"/>
      <c r="S561" s="1"/>
      <c r="T561" s="1"/>
      <c r="U561" s="1"/>
    </row>
    <row r="562" spans="1:21" ht="18" x14ac:dyDescent="0.3">
      <c r="A562" s="1"/>
      <c r="B562" s="23">
        <v>3</v>
      </c>
      <c r="C562" s="24" t="s">
        <v>287</v>
      </c>
      <c r="D562" s="25">
        <v>1</v>
      </c>
      <c r="E562" s="25">
        <v>1</v>
      </c>
      <c r="F562" s="25">
        <v>1</v>
      </c>
      <c r="G562" s="25">
        <v>1</v>
      </c>
      <c r="H562" s="25">
        <v>1</v>
      </c>
      <c r="I562" s="25">
        <v>1</v>
      </c>
      <c r="J562" s="25">
        <v>1</v>
      </c>
      <c r="K562" s="25">
        <v>0.5</v>
      </c>
      <c r="L562" s="26">
        <v>0</v>
      </c>
      <c r="M562" s="26">
        <v>0.5</v>
      </c>
      <c r="N562" s="27">
        <v>0.91500000000000004</v>
      </c>
      <c r="O562" s="28">
        <v>0</v>
      </c>
      <c r="P562" s="27">
        <v>0.91500000000000004</v>
      </c>
      <c r="Q562" s="54"/>
      <c r="R562" s="52"/>
      <c r="S562" s="1"/>
      <c r="T562" s="1"/>
      <c r="U562" s="1"/>
    </row>
    <row r="563" spans="1:21" ht="18" x14ac:dyDescent="0.3">
      <c r="A563" s="1"/>
      <c r="B563" s="23">
        <v>4</v>
      </c>
      <c r="C563" s="24" t="s">
        <v>288</v>
      </c>
      <c r="D563" s="25">
        <v>0.98</v>
      </c>
      <c r="E563" s="25">
        <v>1</v>
      </c>
      <c r="F563" s="25">
        <v>1</v>
      </c>
      <c r="G563" s="25">
        <v>0.99680000000000002</v>
      </c>
      <c r="H563" s="25">
        <v>1</v>
      </c>
      <c r="I563" s="25">
        <v>1</v>
      </c>
      <c r="J563" s="25">
        <v>1</v>
      </c>
      <c r="K563" s="25">
        <v>0.5</v>
      </c>
      <c r="L563" s="26">
        <v>0</v>
      </c>
      <c r="M563" s="26">
        <v>1</v>
      </c>
      <c r="N563" s="27">
        <v>0.93769999999999998</v>
      </c>
      <c r="O563" s="28">
        <v>0</v>
      </c>
      <c r="P563" s="27">
        <v>0.93769999999999998</v>
      </c>
      <c r="Q563" s="54"/>
      <c r="R563" s="52"/>
      <c r="S563" s="1"/>
      <c r="T563" s="1"/>
      <c r="U563" s="1"/>
    </row>
    <row r="564" spans="1:21" ht="18" x14ac:dyDescent="0.3">
      <c r="A564" s="1"/>
      <c r="B564" s="23">
        <v>5</v>
      </c>
      <c r="C564" s="24" t="s">
        <v>289</v>
      </c>
      <c r="D564" s="25">
        <v>1</v>
      </c>
      <c r="E564" s="25">
        <v>1</v>
      </c>
      <c r="F564" s="25">
        <v>1</v>
      </c>
      <c r="G564" s="25">
        <v>1</v>
      </c>
      <c r="H564" s="25">
        <v>1</v>
      </c>
      <c r="I564" s="25">
        <v>0.99790000000000001</v>
      </c>
      <c r="J564" s="25">
        <v>1</v>
      </c>
      <c r="K564" s="25">
        <v>0.5</v>
      </c>
      <c r="L564" s="26">
        <v>0</v>
      </c>
      <c r="M564" s="26">
        <v>1</v>
      </c>
      <c r="N564" s="27">
        <v>0.93979999999999997</v>
      </c>
      <c r="O564" s="28">
        <v>0</v>
      </c>
      <c r="P564" s="27">
        <v>0.93979999999999997</v>
      </c>
      <c r="Q564" s="54"/>
      <c r="R564" s="52"/>
      <c r="S564" s="1"/>
      <c r="T564" s="1"/>
      <c r="U564" s="1"/>
    </row>
    <row r="565" spans="1:21" ht="18" x14ac:dyDescent="0.3">
      <c r="A565" s="1"/>
      <c r="B565" s="23">
        <v>6</v>
      </c>
      <c r="C565" s="24" t="s">
        <v>290</v>
      </c>
      <c r="D565" s="25">
        <v>1</v>
      </c>
      <c r="E565" s="25">
        <v>1</v>
      </c>
      <c r="F565" s="25">
        <v>1</v>
      </c>
      <c r="G565" s="25">
        <v>1</v>
      </c>
      <c r="H565" s="25">
        <v>1</v>
      </c>
      <c r="I565" s="25">
        <v>1</v>
      </c>
      <c r="J565" s="25">
        <v>0.8</v>
      </c>
      <c r="K565" s="25">
        <v>1</v>
      </c>
      <c r="L565" s="26">
        <v>0</v>
      </c>
      <c r="M565" s="26">
        <v>1</v>
      </c>
      <c r="N565" s="27">
        <v>0.91</v>
      </c>
      <c r="O565" s="28">
        <v>0</v>
      </c>
      <c r="P565" s="27">
        <v>0.91</v>
      </c>
      <c r="Q565" s="54"/>
      <c r="R565" s="52"/>
      <c r="S565" s="1"/>
      <c r="T565" s="1"/>
      <c r="U565" s="1"/>
    </row>
    <row r="566" spans="1:21" x14ac:dyDescent="0.3">
      <c r="A566" s="1"/>
      <c r="B566" s="59" t="s">
        <v>27</v>
      </c>
      <c r="C566" s="60"/>
      <c r="D566" s="31">
        <v>1</v>
      </c>
      <c r="E566" s="31">
        <v>1</v>
      </c>
      <c r="F566" s="31">
        <v>1</v>
      </c>
      <c r="G566" s="31">
        <v>0.99</v>
      </c>
      <c r="H566" s="31">
        <v>1</v>
      </c>
      <c r="I566" s="31">
        <v>1</v>
      </c>
      <c r="J566" s="31">
        <v>0.97</v>
      </c>
      <c r="K566" s="31">
        <v>0.75</v>
      </c>
      <c r="L566" s="31">
        <v>0</v>
      </c>
      <c r="M566" s="31">
        <v>0.92</v>
      </c>
      <c r="N566" s="31">
        <v>0.94</v>
      </c>
      <c r="O566" s="31">
        <v>0</v>
      </c>
      <c r="P566" s="31">
        <v>0.94</v>
      </c>
      <c r="Q566" s="54"/>
      <c r="R566" s="52"/>
      <c r="S566" s="1"/>
      <c r="T566" s="1"/>
      <c r="U566" s="1"/>
    </row>
    <row r="567" spans="1:2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52"/>
      <c r="R567" s="52"/>
      <c r="S567" s="1"/>
      <c r="T567" s="1"/>
      <c r="U567" s="1"/>
    </row>
    <row r="568" spans="1:2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40"/>
      <c r="N568" s="1"/>
      <c r="O568" s="1"/>
      <c r="P568" s="1"/>
      <c r="Q568" s="52"/>
      <c r="R568" s="52"/>
      <c r="S568" s="1"/>
      <c r="T568" s="1"/>
      <c r="U568" s="1"/>
    </row>
    <row r="569" spans="1:21" ht="15.6" x14ac:dyDescent="0.3">
      <c r="A569" s="1"/>
      <c r="B569" s="3"/>
      <c r="C569" s="4" t="s">
        <v>291</v>
      </c>
      <c r="D569" s="3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5" t="s">
        <v>2</v>
      </c>
      <c r="Q569" s="54"/>
      <c r="R569" s="52"/>
      <c r="S569" s="1"/>
      <c r="T569" s="1"/>
      <c r="U569" s="1"/>
    </row>
    <row r="570" spans="1:21" ht="15.6" x14ac:dyDescent="0.3">
      <c r="A570" s="1"/>
      <c r="B570" s="3"/>
      <c r="C570" s="6">
        <v>46174</v>
      </c>
      <c r="D570" s="3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7">
        <v>0.99</v>
      </c>
      <c r="Q570" s="54"/>
      <c r="R570" s="52"/>
      <c r="S570" s="1"/>
      <c r="T570" s="1"/>
      <c r="U570" s="1"/>
    </row>
    <row r="571" spans="1:21" ht="42" x14ac:dyDescent="0.3">
      <c r="A571" s="1"/>
      <c r="B571" s="55" t="s">
        <v>3</v>
      </c>
      <c r="C571" s="55" t="s">
        <v>4</v>
      </c>
      <c r="D571" s="8" t="s">
        <v>5</v>
      </c>
      <c r="E571" s="8" t="s">
        <v>6</v>
      </c>
      <c r="F571" s="9" t="s">
        <v>7</v>
      </c>
      <c r="G571" s="9" t="s">
        <v>8</v>
      </c>
      <c r="H571" s="9" t="s">
        <v>9</v>
      </c>
      <c r="I571" s="10" t="s">
        <v>10</v>
      </c>
      <c r="J571" s="10" t="s">
        <v>11</v>
      </c>
      <c r="K571" s="11" t="s">
        <v>12</v>
      </c>
      <c r="L571" s="10" t="s">
        <v>13</v>
      </c>
      <c r="M571" s="11" t="s">
        <v>14</v>
      </c>
      <c r="N571" s="12" t="s">
        <v>15</v>
      </c>
      <c r="O571" s="57" t="s">
        <v>16</v>
      </c>
      <c r="P571" s="57" t="s">
        <v>17</v>
      </c>
      <c r="Q571" s="54"/>
      <c r="R571" s="52"/>
      <c r="S571" s="1"/>
      <c r="T571" s="1"/>
      <c r="U571" s="1"/>
    </row>
    <row r="572" spans="1:21" x14ac:dyDescent="0.3">
      <c r="A572" s="1"/>
      <c r="B572" s="56"/>
      <c r="C572" s="56"/>
      <c r="D572" s="13" t="s">
        <v>18</v>
      </c>
      <c r="E572" s="13" t="s">
        <v>18</v>
      </c>
      <c r="F572" s="13" t="s">
        <v>18</v>
      </c>
      <c r="G572" s="13" t="s">
        <v>18</v>
      </c>
      <c r="H572" s="13" t="s">
        <v>18</v>
      </c>
      <c r="I572" s="13" t="s">
        <v>18</v>
      </c>
      <c r="J572" s="13" t="s">
        <v>18</v>
      </c>
      <c r="K572" s="13" t="s">
        <v>18</v>
      </c>
      <c r="L572" s="13" t="s">
        <v>18</v>
      </c>
      <c r="M572" s="13" t="s">
        <v>18</v>
      </c>
      <c r="N572" s="14" t="s">
        <v>29</v>
      </c>
      <c r="O572" s="58"/>
      <c r="P572" s="58"/>
      <c r="Q572" s="54"/>
      <c r="R572" s="52"/>
      <c r="S572" s="1"/>
      <c r="T572" s="1"/>
      <c r="U572" s="1"/>
    </row>
    <row r="573" spans="1:21" x14ac:dyDescent="0.3">
      <c r="A573" s="1"/>
      <c r="B573" s="59" t="s">
        <v>20</v>
      </c>
      <c r="C573" s="60"/>
      <c r="D573" s="16">
        <v>0.1</v>
      </c>
      <c r="E573" s="16">
        <v>0.05</v>
      </c>
      <c r="F573" s="16">
        <v>0.1</v>
      </c>
      <c r="G573" s="16">
        <v>0.1</v>
      </c>
      <c r="H573" s="16">
        <v>0.05</v>
      </c>
      <c r="I573" s="17">
        <v>0.1</v>
      </c>
      <c r="J573" s="17">
        <v>0.35</v>
      </c>
      <c r="K573" s="17">
        <v>0.08</v>
      </c>
      <c r="L573" s="17">
        <v>0.02</v>
      </c>
      <c r="M573" s="17">
        <v>0.05</v>
      </c>
      <c r="N573" s="19">
        <v>1</v>
      </c>
      <c r="O573" s="20"/>
      <c r="P573" s="22"/>
      <c r="Q573" s="54"/>
      <c r="R573" s="52"/>
      <c r="S573" s="1"/>
      <c r="T573" s="1"/>
      <c r="U573" s="1"/>
    </row>
    <row r="574" spans="1:21" ht="18" x14ac:dyDescent="0.3">
      <c r="A574" s="1"/>
      <c r="B574" s="23">
        <v>1</v>
      </c>
      <c r="C574" s="30" t="s">
        <v>292</v>
      </c>
      <c r="D574" s="25">
        <v>1</v>
      </c>
      <c r="E574" s="25">
        <v>1</v>
      </c>
      <c r="F574" s="25">
        <v>1</v>
      </c>
      <c r="G574" s="25">
        <v>1</v>
      </c>
      <c r="H574" s="25">
        <v>1</v>
      </c>
      <c r="I574" s="25">
        <v>1</v>
      </c>
      <c r="J574" s="25">
        <v>1</v>
      </c>
      <c r="K574" s="25">
        <v>1</v>
      </c>
      <c r="L574" s="26">
        <v>0</v>
      </c>
      <c r="M574" s="26">
        <v>0</v>
      </c>
      <c r="N574" s="27">
        <v>0.97889999999999999</v>
      </c>
      <c r="O574" s="28">
        <v>0</v>
      </c>
      <c r="P574" s="27">
        <v>0.97889999999999999</v>
      </c>
      <c r="Q574" s="54"/>
      <c r="R574" s="52"/>
      <c r="S574" s="1"/>
      <c r="T574" s="1"/>
      <c r="U574" s="1"/>
    </row>
    <row r="575" spans="1:21" ht="18" x14ac:dyDescent="0.3">
      <c r="A575" s="1"/>
      <c r="B575" s="23">
        <v>2</v>
      </c>
      <c r="C575" s="30" t="s">
        <v>293</v>
      </c>
      <c r="D575" s="25">
        <v>1</v>
      </c>
      <c r="E575" s="25">
        <v>1</v>
      </c>
      <c r="F575" s="25">
        <v>1</v>
      </c>
      <c r="G575" s="25">
        <v>1</v>
      </c>
      <c r="H575" s="25">
        <v>1</v>
      </c>
      <c r="I575" s="25">
        <v>0.98719999999999997</v>
      </c>
      <c r="J575" s="25">
        <v>1</v>
      </c>
      <c r="K575" s="25">
        <v>1</v>
      </c>
      <c r="L575" s="26">
        <v>1</v>
      </c>
      <c r="M575" s="26">
        <v>0</v>
      </c>
      <c r="N575" s="27">
        <v>0.99870000000000003</v>
      </c>
      <c r="O575" s="28">
        <v>0</v>
      </c>
      <c r="P575" s="27">
        <v>0.99870000000000003</v>
      </c>
      <c r="Q575" s="54"/>
      <c r="R575" s="52"/>
      <c r="S575" s="1"/>
      <c r="T575" s="1"/>
      <c r="U575" s="1"/>
    </row>
    <row r="576" spans="1:21" ht="18" x14ac:dyDescent="0.3">
      <c r="A576" s="1"/>
      <c r="B576" s="23">
        <v>3</v>
      </c>
      <c r="C576" s="30" t="s">
        <v>294</v>
      </c>
      <c r="D576" s="25">
        <v>1</v>
      </c>
      <c r="E576" s="25">
        <v>1</v>
      </c>
      <c r="F576" s="25">
        <v>1</v>
      </c>
      <c r="G576" s="25">
        <v>1</v>
      </c>
      <c r="H576" s="25">
        <v>1</v>
      </c>
      <c r="I576" s="25">
        <v>1</v>
      </c>
      <c r="J576" s="25">
        <v>1</v>
      </c>
      <c r="K576" s="25">
        <v>1</v>
      </c>
      <c r="L576" s="26">
        <v>1</v>
      </c>
      <c r="M576" s="26">
        <v>0</v>
      </c>
      <c r="N576" s="27">
        <v>1</v>
      </c>
      <c r="O576" s="28">
        <v>0</v>
      </c>
      <c r="P576" s="27">
        <v>1</v>
      </c>
      <c r="Q576" s="54"/>
      <c r="R576" s="52"/>
      <c r="S576" s="1"/>
      <c r="T576" s="1"/>
      <c r="U576" s="1"/>
    </row>
    <row r="577" spans="1:21" ht="18" x14ac:dyDescent="0.3">
      <c r="A577" s="1"/>
      <c r="B577" s="23">
        <v>4</v>
      </c>
      <c r="C577" s="41" t="s">
        <v>295</v>
      </c>
      <c r="D577" s="25">
        <v>0.98</v>
      </c>
      <c r="E577" s="25">
        <v>1</v>
      </c>
      <c r="F577" s="25">
        <v>1</v>
      </c>
      <c r="G577" s="25">
        <v>1</v>
      </c>
      <c r="H577" s="25">
        <v>1</v>
      </c>
      <c r="I577" s="25">
        <v>1</v>
      </c>
      <c r="J577" s="25">
        <v>1</v>
      </c>
      <c r="K577" s="25">
        <v>1</v>
      </c>
      <c r="L577" s="26">
        <v>1</v>
      </c>
      <c r="M577" s="26">
        <v>0</v>
      </c>
      <c r="N577" s="27">
        <v>0.99790000000000001</v>
      </c>
      <c r="O577" s="28">
        <v>0</v>
      </c>
      <c r="P577" s="27">
        <v>0.99790000000000001</v>
      </c>
      <c r="Q577" s="54"/>
      <c r="R577" s="52"/>
      <c r="S577" s="1"/>
      <c r="T577" s="1"/>
      <c r="U577" s="1"/>
    </row>
    <row r="578" spans="1:21" ht="18" x14ac:dyDescent="0.3">
      <c r="A578" s="1"/>
      <c r="B578" s="23">
        <v>5</v>
      </c>
      <c r="C578" s="30" t="s">
        <v>296</v>
      </c>
      <c r="D578" s="25">
        <v>1</v>
      </c>
      <c r="E578" s="25">
        <v>1</v>
      </c>
      <c r="F578" s="25">
        <v>1</v>
      </c>
      <c r="G578" s="25">
        <v>1</v>
      </c>
      <c r="H578" s="25">
        <v>1</v>
      </c>
      <c r="I578" s="25">
        <v>1</v>
      </c>
      <c r="J578" s="25">
        <v>1</v>
      </c>
      <c r="K578" s="25">
        <v>1</v>
      </c>
      <c r="L578" s="26">
        <v>0</v>
      </c>
      <c r="M578" s="26">
        <v>0</v>
      </c>
      <c r="N578" s="27">
        <v>0.97889999999999999</v>
      </c>
      <c r="O578" s="28">
        <v>0</v>
      </c>
      <c r="P578" s="27">
        <v>0.97889999999999999</v>
      </c>
      <c r="Q578" s="54"/>
      <c r="R578" s="52"/>
      <c r="S578" s="1"/>
      <c r="T578" s="1"/>
      <c r="U578" s="1"/>
    </row>
    <row r="579" spans="1:21" ht="18" x14ac:dyDescent="0.3">
      <c r="A579" s="1"/>
      <c r="B579" s="23">
        <v>6</v>
      </c>
      <c r="C579" s="30" t="s">
        <v>297</v>
      </c>
      <c r="D579" s="25">
        <v>0.98</v>
      </c>
      <c r="E579" s="25">
        <v>1</v>
      </c>
      <c r="F579" s="25">
        <v>1</v>
      </c>
      <c r="G579" s="25">
        <v>1</v>
      </c>
      <c r="H579" s="25">
        <v>1</v>
      </c>
      <c r="I579" s="25">
        <v>0.99809999999999999</v>
      </c>
      <c r="J579" s="25">
        <v>1</v>
      </c>
      <c r="K579" s="25">
        <v>1</v>
      </c>
      <c r="L579" s="26">
        <v>0</v>
      </c>
      <c r="M579" s="26">
        <v>0</v>
      </c>
      <c r="N579" s="27">
        <v>0.97660000000000002</v>
      </c>
      <c r="O579" s="28">
        <v>0</v>
      </c>
      <c r="P579" s="27">
        <v>0.97660000000000002</v>
      </c>
      <c r="Q579" s="54"/>
      <c r="R579" s="52"/>
      <c r="S579" s="1"/>
      <c r="T579" s="1"/>
      <c r="U579" s="1"/>
    </row>
    <row r="580" spans="1:21" ht="18" x14ac:dyDescent="0.3">
      <c r="A580" s="1"/>
      <c r="B580" s="23">
        <v>7</v>
      </c>
      <c r="C580" s="30" t="s">
        <v>298</v>
      </c>
      <c r="D580" s="25">
        <v>0.98</v>
      </c>
      <c r="E580" s="25">
        <v>1</v>
      </c>
      <c r="F580" s="25">
        <v>1</v>
      </c>
      <c r="G580" s="25">
        <v>1</v>
      </c>
      <c r="H580" s="25">
        <v>1</v>
      </c>
      <c r="I580" s="25">
        <v>1</v>
      </c>
      <c r="J580" s="25">
        <v>1</v>
      </c>
      <c r="K580" s="25">
        <v>1</v>
      </c>
      <c r="L580" s="26">
        <v>0</v>
      </c>
      <c r="M580" s="26">
        <v>0</v>
      </c>
      <c r="N580" s="27">
        <v>0.9768</v>
      </c>
      <c r="O580" s="28">
        <v>0</v>
      </c>
      <c r="P580" s="27">
        <v>0.9768</v>
      </c>
      <c r="Q580" s="54"/>
      <c r="R580" s="52"/>
      <c r="S580" s="1"/>
      <c r="T580" s="1"/>
      <c r="U580" s="1"/>
    </row>
    <row r="581" spans="1:21" x14ac:dyDescent="0.3">
      <c r="A581" s="1"/>
      <c r="B581" s="59" t="s">
        <v>27</v>
      </c>
      <c r="C581" s="60"/>
      <c r="D581" s="31">
        <v>0.99</v>
      </c>
      <c r="E581" s="31">
        <v>1</v>
      </c>
      <c r="F581" s="31">
        <v>1</v>
      </c>
      <c r="G581" s="31">
        <v>1</v>
      </c>
      <c r="H581" s="31">
        <v>1</v>
      </c>
      <c r="I581" s="31">
        <v>1</v>
      </c>
      <c r="J581" s="31">
        <v>1</v>
      </c>
      <c r="K581" s="31">
        <v>1</v>
      </c>
      <c r="L581" s="31">
        <v>0.43</v>
      </c>
      <c r="M581" s="31">
        <v>0</v>
      </c>
      <c r="N581" s="31">
        <v>0.99</v>
      </c>
      <c r="O581" s="31">
        <v>0</v>
      </c>
      <c r="P581" s="31">
        <v>0.99</v>
      </c>
      <c r="Q581" s="54"/>
      <c r="R581" s="52"/>
      <c r="S581" s="1"/>
      <c r="T581" s="1"/>
      <c r="U581" s="1"/>
    </row>
    <row r="582" spans="1:2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52"/>
      <c r="R582" s="52"/>
      <c r="S582" s="1"/>
      <c r="T582" s="1"/>
      <c r="U582" s="1"/>
    </row>
    <row r="583" spans="1:2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52"/>
      <c r="R583" s="52"/>
      <c r="S583" s="1"/>
      <c r="T583" s="1"/>
      <c r="U583" s="1"/>
    </row>
    <row r="584" spans="1:21" ht="15.6" x14ac:dyDescent="0.3">
      <c r="A584" s="1"/>
      <c r="B584" s="3"/>
      <c r="C584" s="4" t="s">
        <v>299</v>
      </c>
      <c r="D584" s="3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5" t="s">
        <v>2</v>
      </c>
      <c r="Q584" s="54"/>
      <c r="R584" s="52"/>
      <c r="S584" s="1"/>
      <c r="T584" s="1"/>
      <c r="U584" s="1"/>
    </row>
    <row r="585" spans="1:21" ht="15.6" x14ac:dyDescent="0.3">
      <c r="A585" s="1"/>
      <c r="B585" s="3"/>
      <c r="C585" s="6">
        <v>46174</v>
      </c>
      <c r="D585" s="3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7">
        <v>0.93</v>
      </c>
      <c r="Q585" s="54"/>
      <c r="R585" s="52"/>
      <c r="S585" s="1"/>
      <c r="T585" s="1"/>
      <c r="U585" s="1"/>
    </row>
    <row r="586" spans="1:21" ht="42" x14ac:dyDescent="0.3">
      <c r="A586" s="1"/>
      <c r="B586" s="55" t="s">
        <v>3</v>
      </c>
      <c r="C586" s="55" t="s">
        <v>4</v>
      </c>
      <c r="D586" s="8" t="s">
        <v>5</v>
      </c>
      <c r="E586" s="8" t="s">
        <v>6</v>
      </c>
      <c r="F586" s="9" t="s">
        <v>7</v>
      </c>
      <c r="G586" s="9" t="s">
        <v>8</v>
      </c>
      <c r="H586" s="9" t="s">
        <v>9</v>
      </c>
      <c r="I586" s="10" t="s">
        <v>10</v>
      </c>
      <c r="J586" s="10" t="s">
        <v>11</v>
      </c>
      <c r="K586" s="11" t="s">
        <v>12</v>
      </c>
      <c r="L586" s="10" t="s">
        <v>13</v>
      </c>
      <c r="M586" s="11" t="s">
        <v>14</v>
      </c>
      <c r="N586" s="12" t="s">
        <v>15</v>
      </c>
      <c r="O586" s="57" t="s">
        <v>16</v>
      </c>
      <c r="P586" s="57" t="s">
        <v>17</v>
      </c>
      <c r="Q586" s="54"/>
      <c r="R586" s="52"/>
      <c r="S586" s="1"/>
      <c r="T586" s="1"/>
      <c r="U586" s="1"/>
    </row>
    <row r="587" spans="1:21" x14ac:dyDescent="0.3">
      <c r="A587" s="1"/>
      <c r="B587" s="56"/>
      <c r="C587" s="56"/>
      <c r="D587" s="13" t="s">
        <v>18</v>
      </c>
      <c r="E587" s="13" t="s">
        <v>18</v>
      </c>
      <c r="F587" s="13" t="s">
        <v>18</v>
      </c>
      <c r="G587" s="13" t="s">
        <v>18</v>
      </c>
      <c r="H587" s="13" t="s">
        <v>18</v>
      </c>
      <c r="I587" s="13" t="s">
        <v>18</v>
      </c>
      <c r="J587" s="13" t="s">
        <v>18</v>
      </c>
      <c r="K587" s="13" t="s">
        <v>18</v>
      </c>
      <c r="L587" s="13" t="s">
        <v>18</v>
      </c>
      <c r="M587" s="13" t="s">
        <v>18</v>
      </c>
      <c r="N587" s="14" t="s">
        <v>29</v>
      </c>
      <c r="O587" s="58"/>
      <c r="P587" s="58"/>
      <c r="Q587" s="54"/>
      <c r="R587" s="52"/>
      <c r="S587" s="1"/>
      <c r="T587" s="1"/>
      <c r="U587" s="1"/>
    </row>
    <row r="588" spans="1:21" x14ac:dyDescent="0.3">
      <c r="A588" s="1"/>
      <c r="B588" s="59" t="s">
        <v>20</v>
      </c>
      <c r="C588" s="60"/>
      <c r="D588" s="16">
        <v>0.1</v>
      </c>
      <c r="E588" s="16">
        <v>0.05</v>
      </c>
      <c r="F588" s="16">
        <v>0.1</v>
      </c>
      <c r="G588" s="16">
        <v>0.1</v>
      </c>
      <c r="H588" s="16">
        <v>0.05</v>
      </c>
      <c r="I588" s="17">
        <v>0.1</v>
      </c>
      <c r="J588" s="17">
        <v>0.35</v>
      </c>
      <c r="K588" s="17">
        <v>0.08</v>
      </c>
      <c r="L588" s="17">
        <v>0.02</v>
      </c>
      <c r="M588" s="17">
        <v>0.05</v>
      </c>
      <c r="N588" s="19">
        <v>1</v>
      </c>
      <c r="O588" s="20"/>
      <c r="P588" s="22"/>
      <c r="Q588" s="54"/>
      <c r="R588" s="52"/>
      <c r="S588" s="1"/>
      <c r="T588" s="1"/>
      <c r="U588" s="1"/>
    </row>
    <row r="589" spans="1:21" ht="18" x14ac:dyDescent="0.3">
      <c r="A589" s="1"/>
      <c r="B589" s="23">
        <v>1</v>
      </c>
      <c r="C589" s="24" t="s">
        <v>300</v>
      </c>
      <c r="D589" s="25">
        <v>1</v>
      </c>
      <c r="E589" s="25">
        <v>1</v>
      </c>
      <c r="F589" s="25">
        <v>1</v>
      </c>
      <c r="G589" s="25">
        <v>1</v>
      </c>
      <c r="H589" s="25">
        <v>1</v>
      </c>
      <c r="I589" s="25">
        <v>0.97699999999999998</v>
      </c>
      <c r="J589" s="25">
        <v>0.8</v>
      </c>
      <c r="K589" s="25">
        <v>1</v>
      </c>
      <c r="L589" s="26">
        <v>1</v>
      </c>
      <c r="M589" s="26">
        <v>1</v>
      </c>
      <c r="N589" s="27">
        <v>0.92769999999999997</v>
      </c>
      <c r="O589" s="28">
        <v>0</v>
      </c>
      <c r="P589" s="27">
        <v>0.92769999999999997</v>
      </c>
      <c r="Q589" s="54"/>
      <c r="R589" s="52"/>
      <c r="S589" s="1"/>
      <c r="T589" s="1"/>
      <c r="U589" s="1"/>
    </row>
    <row r="590" spans="1:21" ht="18" x14ac:dyDescent="0.3">
      <c r="A590" s="1"/>
      <c r="B590" s="23">
        <v>2</v>
      </c>
      <c r="C590" s="24" t="s">
        <v>301</v>
      </c>
      <c r="D590" s="25">
        <v>0.98</v>
      </c>
      <c r="E590" s="25">
        <v>1</v>
      </c>
      <c r="F590" s="25">
        <v>1</v>
      </c>
      <c r="G590" s="25">
        <v>1</v>
      </c>
      <c r="H590" s="25">
        <v>1</v>
      </c>
      <c r="I590" s="25">
        <v>0.99229999999999996</v>
      </c>
      <c r="J590" s="25">
        <v>1</v>
      </c>
      <c r="K590" s="25">
        <v>1</v>
      </c>
      <c r="L590" s="26">
        <v>1</v>
      </c>
      <c r="M590" s="26">
        <v>1</v>
      </c>
      <c r="N590" s="27">
        <v>0.99719999999999998</v>
      </c>
      <c r="O590" s="28">
        <v>0</v>
      </c>
      <c r="P590" s="27">
        <v>0.99719999999999998</v>
      </c>
      <c r="Q590" s="54"/>
      <c r="R590" s="52"/>
      <c r="S590" s="1"/>
      <c r="T590" s="1"/>
      <c r="U590" s="1"/>
    </row>
    <row r="591" spans="1:21" ht="18" x14ac:dyDescent="0.3">
      <c r="A591" s="1"/>
      <c r="B591" s="23">
        <v>3</v>
      </c>
      <c r="C591" s="24" t="s">
        <v>302</v>
      </c>
      <c r="D591" s="25">
        <v>1</v>
      </c>
      <c r="E591" s="25">
        <v>1</v>
      </c>
      <c r="F591" s="25">
        <v>1</v>
      </c>
      <c r="G591" s="25">
        <v>1</v>
      </c>
      <c r="H591" s="25">
        <v>1</v>
      </c>
      <c r="I591" s="25">
        <v>1</v>
      </c>
      <c r="J591" s="25">
        <v>1</v>
      </c>
      <c r="K591" s="25">
        <v>1</v>
      </c>
      <c r="L591" s="26">
        <v>0</v>
      </c>
      <c r="M591" s="26">
        <v>1</v>
      </c>
      <c r="N591" s="27">
        <v>0.98</v>
      </c>
      <c r="O591" s="28">
        <v>0</v>
      </c>
      <c r="P591" s="27">
        <v>0.98</v>
      </c>
      <c r="Q591" s="54"/>
      <c r="R591" s="52"/>
      <c r="S591" s="1"/>
      <c r="T591" s="1"/>
      <c r="U591" s="1"/>
    </row>
    <row r="592" spans="1:21" ht="18" x14ac:dyDescent="0.3">
      <c r="A592" s="1"/>
      <c r="B592" s="23">
        <v>4</v>
      </c>
      <c r="C592" s="24" t="s">
        <v>303</v>
      </c>
      <c r="D592" s="25">
        <v>1</v>
      </c>
      <c r="E592" s="25">
        <v>1</v>
      </c>
      <c r="F592" s="25">
        <v>1</v>
      </c>
      <c r="G592" s="25">
        <v>1</v>
      </c>
      <c r="H592" s="25">
        <v>0</v>
      </c>
      <c r="I592" s="25">
        <v>1</v>
      </c>
      <c r="J592" s="25">
        <v>1</v>
      </c>
      <c r="K592" s="25">
        <v>1</v>
      </c>
      <c r="L592" s="26">
        <v>0</v>
      </c>
      <c r="M592" s="26">
        <v>1</v>
      </c>
      <c r="N592" s="27">
        <v>0.93</v>
      </c>
      <c r="O592" s="28">
        <v>0</v>
      </c>
      <c r="P592" s="27">
        <v>0.93</v>
      </c>
      <c r="Q592" s="54"/>
      <c r="R592" s="52"/>
      <c r="S592" s="1"/>
      <c r="T592" s="1"/>
      <c r="U592" s="1"/>
    </row>
    <row r="593" spans="1:21" ht="18" x14ac:dyDescent="0.3">
      <c r="A593" s="1"/>
      <c r="B593" s="23">
        <v>5</v>
      </c>
      <c r="C593" s="24" t="s">
        <v>304</v>
      </c>
      <c r="D593" s="25">
        <v>0.98</v>
      </c>
      <c r="E593" s="25">
        <v>0.98</v>
      </c>
      <c r="F593" s="25">
        <v>0.99050000000000005</v>
      </c>
      <c r="G593" s="25">
        <v>1</v>
      </c>
      <c r="H593" s="25">
        <v>1</v>
      </c>
      <c r="I593" s="25">
        <v>1</v>
      </c>
      <c r="J593" s="25">
        <v>1</v>
      </c>
      <c r="K593" s="25">
        <v>1</v>
      </c>
      <c r="L593" s="26">
        <v>0</v>
      </c>
      <c r="M593" s="26">
        <v>1</v>
      </c>
      <c r="N593" s="27">
        <v>0.97609999999999997</v>
      </c>
      <c r="O593" s="28">
        <v>0</v>
      </c>
      <c r="P593" s="27">
        <v>0.97609999999999997</v>
      </c>
      <c r="Q593" s="54"/>
      <c r="R593" s="52"/>
      <c r="S593" s="1"/>
      <c r="T593" s="1"/>
      <c r="U593" s="1"/>
    </row>
    <row r="594" spans="1:21" ht="18" x14ac:dyDescent="0.3">
      <c r="A594" s="1"/>
      <c r="B594" s="23">
        <v>6</v>
      </c>
      <c r="C594" s="24" t="s">
        <v>305</v>
      </c>
      <c r="D594" s="25">
        <v>1</v>
      </c>
      <c r="E594" s="25">
        <v>1</v>
      </c>
      <c r="F594" s="25">
        <v>1</v>
      </c>
      <c r="G594" s="25">
        <v>0.73040000000000005</v>
      </c>
      <c r="H594" s="25">
        <v>0</v>
      </c>
      <c r="I594" s="25">
        <v>0.99399999999999999</v>
      </c>
      <c r="J594" s="25">
        <v>0.8</v>
      </c>
      <c r="K594" s="25">
        <v>0</v>
      </c>
      <c r="L594" s="26">
        <v>0</v>
      </c>
      <c r="M594" s="26">
        <v>1</v>
      </c>
      <c r="N594" s="27">
        <v>0.75239999999999996</v>
      </c>
      <c r="O594" s="28">
        <v>0</v>
      </c>
      <c r="P594" s="27">
        <v>0.75239999999999996</v>
      </c>
      <c r="Q594" s="54"/>
      <c r="R594" s="52"/>
      <c r="S594" s="1"/>
      <c r="T594" s="1"/>
      <c r="U594" s="1"/>
    </row>
    <row r="595" spans="1:21" x14ac:dyDescent="0.3">
      <c r="A595" s="1"/>
      <c r="B595" s="59" t="s">
        <v>27</v>
      </c>
      <c r="C595" s="60"/>
      <c r="D595" s="31">
        <v>0.99</v>
      </c>
      <c r="E595" s="31">
        <v>1</v>
      </c>
      <c r="F595" s="31">
        <v>1</v>
      </c>
      <c r="G595" s="31">
        <v>0.96</v>
      </c>
      <c r="H595" s="31">
        <v>0.67</v>
      </c>
      <c r="I595" s="31">
        <v>0.99</v>
      </c>
      <c r="J595" s="31">
        <v>0.93</v>
      </c>
      <c r="K595" s="31">
        <v>0.83</v>
      </c>
      <c r="L595" s="31">
        <v>0.33</v>
      </c>
      <c r="M595" s="31">
        <v>1</v>
      </c>
      <c r="N595" s="31">
        <v>0.93</v>
      </c>
      <c r="O595" s="31">
        <v>0</v>
      </c>
      <c r="P595" s="31">
        <v>0.93</v>
      </c>
      <c r="Q595" s="54"/>
      <c r="R595" s="52"/>
      <c r="S595" s="1"/>
      <c r="T595" s="1"/>
      <c r="U595" s="1"/>
    </row>
    <row r="596" spans="1:2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52"/>
      <c r="R596" s="52"/>
      <c r="S596" s="1"/>
      <c r="T596" s="1"/>
      <c r="U596" s="1"/>
    </row>
    <row r="597" spans="1:2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52"/>
      <c r="R597" s="52"/>
      <c r="S597" s="1"/>
      <c r="T597" s="1"/>
      <c r="U597" s="1"/>
    </row>
    <row r="598" spans="1:21" ht="15.6" x14ac:dyDescent="0.3">
      <c r="A598" s="1"/>
      <c r="B598" s="3"/>
      <c r="C598" s="4" t="s">
        <v>306</v>
      </c>
      <c r="D598" s="3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5" t="s">
        <v>2</v>
      </c>
      <c r="Q598" s="54"/>
      <c r="R598" s="52"/>
      <c r="S598" s="1"/>
      <c r="T598" s="1"/>
      <c r="U598" s="1"/>
    </row>
    <row r="599" spans="1:21" ht="15.6" x14ac:dyDescent="0.3">
      <c r="A599" s="1"/>
      <c r="B599" s="3"/>
      <c r="C599" s="6">
        <v>46174</v>
      </c>
      <c r="D599" s="3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7">
        <v>0.92</v>
      </c>
      <c r="Q599" s="54"/>
      <c r="R599" s="52"/>
      <c r="S599" s="1"/>
      <c r="T599" s="1"/>
      <c r="U599" s="1"/>
    </row>
    <row r="600" spans="1:21" ht="42" x14ac:dyDescent="0.3">
      <c r="A600" s="1"/>
      <c r="B600" s="55" t="s">
        <v>3</v>
      </c>
      <c r="C600" s="55" t="s">
        <v>4</v>
      </c>
      <c r="D600" s="8" t="s">
        <v>5</v>
      </c>
      <c r="E600" s="8" t="s">
        <v>6</v>
      </c>
      <c r="F600" s="9" t="s">
        <v>7</v>
      </c>
      <c r="G600" s="9" t="s">
        <v>8</v>
      </c>
      <c r="H600" s="9" t="s">
        <v>9</v>
      </c>
      <c r="I600" s="10" t="s">
        <v>10</v>
      </c>
      <c r="J600" s="10" t="s">
        <v>11</v>
      </c>
      <c r="K600" s="11" t="s">
        <v>12</v>
      </c>
      <c r="L600" s="10" t="s">
        <v>13</v>
      </c>
      <c r="M600" s="11" t="s">
        <v>14</v>
      </c>
      <c r="N600" s="12" t="s">
        <v>15</v>
      </c>
      <c r="O600" s="57" t="s">
        <v>16</v>
      </c>
      <c r="P600" s="57" t="s">
        <v>17</v>
      </c>
      <c r="Q600" s="54"/>
      <c r="R600" s="52"/>
      <c r="S600" s="1"/>
      <c r="T600" s="1"/>
      <c r="U600" s="1"/>
    </row>
    <row r="601" spans="1:21" x14ac:dyDescent="0.3">
      <c r="A601" s="1"/>
      <c r="B601" s="56"/>
      <c r="C601" s="56"/>
      <c r="D601" s="13" t="s">
        <v>18</v>
      </c>
      <c r="E601" s="13" t="s">
        <v>18</v>
      </c>
      <c r="F601" s="13" t="s">
        <v>18</v>
      </c>
      <c r="G601" s="13" t="s">
        <v>18</v>
      </c>
      <c r="H601" s="13" t="s">
        <v>18</v>
      </c>
      <c r="I601" s="13" t="s">
        <v>18</v>
      </c>
      <c r="J601" s="13" t="s">
        <v>18</v>
      </c>
      <c r="K601" s="13" t="s">
        <v>18</v>
      </c>
      <c r="L601" s="13" t="s">
        <v>18</v>
      </c>
      <c r="M601" s="13" t="s">
        <v>18</v>
      </c>
      <c r="N601" s="14" t="s">
        <v>29</v>
      </c>
      <c r="O601" s="58"/>
      <c r="P601" s="58"/>
      <c r="Q601" s="54"/>
      <c r="R601" s="52"/>
      <c r="S601" s="1"/>
      <c r="T601" s="1"/>
      <c r="U601" s="1"/>
    </row>
    <row r="602" spans="1:21" x14ac:dyDescent="0.3">
      <c r="A602" s="1"/>
      <c r="B602" s="59" t="s">
        <v>20</v>
      </c>
      <c r="C602" s="60"/>
      <c r="D602" s="16">
        <v>0.1</v>
      </c>
      <c r="E602" s="16">
        <v>0.05</v>
      </c>
      <c r="F602" s="16">
        <v>0.1</v>
      </c>
      <c r="G602" s="16">
        <v>0.1</v>
      </c>
      <c r="H602" s="16">
        <v>0.05</v>
      </c>
      <c r="I602" s="17">
        <v>0.1</v>
      </c>
      <c r="J602" s="17">
        <v>0.35</v>
      </c>
      <c r="K602" s="17">
        <v>0.08</v>
      </c>
      <c r="L602" s="17">
        <v>0.02</v>
      </c>
      <c r="M602" s="17">
        <v>0.05</v>
      </c>
      <c r="N602" s="19">
        <v>1</v>
      </c>
      <c r="O602" s="20"/>
      <c r="P602" s="22"/>
      <c r="Q602" s="54"/>
      <c r="R602" s="52"/>
      <c r="S602" s="1"/>
      <c r="T602" s="1"/>
      <c r="U602" s="1"/>
    </row>
    <row r="603" spans="1:21" ht="18" x14ac:dyDescent="0.3">
      <c r="A603" s="1"/>
      <c r="B603" s="23">
        <v>1</v>
      </c>
      <c r="C603" s="24" t="s">
        <v>307</v>
      </c>
      <c r="D603" s="25">
        <v>0.98</v>
      </c>
      <c r="E603" s="25">
        <v>1</v>
      </c>
      <c r="F603" s="25">
        <v>1</v>
      </c>
      <c r="G603" s="25">
        <v>1</v>
      </c>
      <c r="H603" s="25">
        <v>1</v>
      </c>
      <c r="I603" s="25">
        <v>0.99790000000000001</v>
      </c>
      <c r="J603" s="25">
        <v>1</v>
      </c>
      <c r="K603" s="25">
        <v>1</v>
      </c>
      <c r="L603" s="26">
        <v>0</v>
      </c>
      <c r="M603" s="26">
        <v>0.75</v>
      </c>
      <c r="N603" s="27">
        <v>0.96530000000000005</v>
      </c>
      <c r="O603" s="28">
        <v>0</v>
      </c>
      <c r="P603" s="27">
        <v>0.96530000000000005</v>
      </c>
      <c r="Q603" s="54"/>
      <c r="R603" s="52"/>
      <c r="S603" s="1"/>
      <c r="T603" s="1"/>
      <c r="U603" s="1"/>
    </row>
    <row r="604" spans="1:21" ht="18" x14ac:dyDescent="0.3">
      <c r="A604" s="1"/>
      <c r="B604" s="23">
        <v>2</v>
      </c>
      <c r="C604" s="24" t="s">
        <v>308</v>
      </c>
      <c r="D604" s="25">
        <v>1</v>
      </c>
      <c r="E604" s="25">
        <v>0.99</v>
      </c>
      <c r="F604" s="25">
        <v>1</v>
      </c>
      <c r="G604" s="25">
        <v>1</v>
      </c>
      <c r="H604" s="25">
        <v>1</v>
      </c>
      <c r="I604" s="25">
        <v>0.9173</v>
      </c>
      <c r="J604" s="25">
        <v>1</v>
      </c>
      <c r="K604" s="25">
        <v>0</v>
      </c>
      <c r="L604" s="26">
        <v>0</v>
      </c>
      <c r="M604" s="26">
        <v>1</v>
      </c>
      <c r="N604" s="27">
        <v>0.89119999999999999</v>
      </c>
      <c r="O604" s="28">
        <v>0</v>
      </c>
      <c r="P604" s="27">
        <v>0.89119999999999999</v>
      </c>
      <c r="Q604" s="54"/>
      <c r="R604" s="52"/>
      <c r="S604" s="1"/>
      <c r="T604" s="1"/>
      <c r="U604" s="1"/>
    </row>
    <row r="605" spans="1:21" ht="18" x14ac:dyDescent="0.3">
      <c r="A605" s="1"/>
      <c r="B605" s="23">
        <v>3</v>
      </c>
      <c r="C605" s="24" t="s">
        <v>309</v>
      </c>
      <c r="D605" s="25">
        <v>0.98</v>
      </c>
      <c r="E605" s="25">
        <v>1</v>
      </c>
      <c r="F605" s="25">
        <v>1</v>
      </c>
      <c r="G605" s="25">
        <v>0.89190000000000003</v>
      </c>
      <c r="H605" s="25">
        <v>1</v>
      </c>
      <c r="I605" s="25">
        <v>0.98029999999999995</v>
      </c>
      <c r="J605" s="25">
        <v>1</v>
      </c>
      <c r="K605" s="25">
        <v>0</v>
      </c>
      <c r="L605" s="26">
        <v>0</v>
      </c>
      <c r="M605" s="26">
        <v>0.75</v>
      </c>
      <c r="N605" s="27">
        <v>0.87270000000000003</v>
      </c>
      <c r="O605" s="28">
        <v>0</v>
      </c>
      <c r="P605" s="27">
        <v>0.87270000000000003</v>
      </c>
      <c r="Q605" s="54"/>
      <c r="R605" s="52"/>
      <c r="S605" s="1"/>
      <c r="T605" s="1"/>
      <c r="U605" s="1"/>
    </row>
    <row r="606" spans="1:21" ht="18" x14ac:dyDescent="0.3">
      <c r="A606" s="1"/>
      <c r="B606" s="23">
        <v>4</v>
      </c>
      <c r="C606" s="24" t="s">
        <v>310</v>
      </c>
      <c r="D606" s="25">
        <v>1</v>
      </c>
      <c r="E606" s="25">
        <v>1</v>
      </c>
      <c r="F606" s="25">
        <v>1</v>
      </c>
      <c r="G606" s="25">
        <v>1</v>
      </c>
      <c r="H606" s="25">
        <v>1</v>
      </c>
      <c r="I606" s="25">
        <v>0.99590000000000001</v>
      </c>
      <c r="J606" s="25">
        <v>1</v>
      </c>
      <c r="K606" s="25">
        <v>1</v>
      </c>
      <c r="L606" s="26">
        <v>0</v>
      </c>
      <c r="M606" s="26">
        <v>0.5</v>
      </c>
      <c r="N606" s="27">
        <v>0.9546</v>
      </c>
      <c r="O606" s="28">
        <v>0</v>
      </c>
      <c r="P606" s="27">
        <v>0.9546</v>
      </c>
      <c r="Q606" s="54"/>
      <c r="R606" s="52"/>
      <c r="S606" s="1"/>
      <c r="T606" s="1"/>
      <c r="U606" s="1"/>
    </row>
    <row r="607" spans="1:21" ht="108" x14ac:dyDescent="0.3">
      <c r="A607" s="1"/>
      <c r="B607" s="23">
        <v>5</v>
      </c>
      <c r="C607" s="33" t="s">
        <v>311</v>
      </c>
      <c r="D607" s="25">
        <v>1</v>
      </c>
      <c r="E607" s="25">
        <v>1</v>
      </c>
      <c r="F607" s="25">
        <v>1</v>
      </c>
      <c r="G607" s="25">
        <v>1</v>
      </c>
      <c r="H607" s="25">
        <v>1</v>
      </c>
      <c r="I607" s="25">
        <v>1</v>
      </c>
      <c r="J607" s="25">
        <v>1</v>
      </c>
      <c r="K607" s="25">
        <v>1</v>
      </c>
      <c r="L607" s="26">
        <v>0</v>
      </c>
      <c r="M607" s="26">
        <v>0</v>
      </c>
      <c r="N607" s="27">
        <v>0.93</v>
      </c>
      <c r="O607" s="28">
        <v>0</v>
      </c>
      <c r="P607" s="27">
        <v>0.93</v>
      </c>
      <c r="Q607" s="54"/>
      <c r="R607" s="52"/>
      <c r="S607" s="1"/>
      <c r="T607" s="1"/>
      <c r="U607" s="1"/>
    </row>
    <row r="608" spans="1:21" x14ac:dyDescent="0.3">
      <c r="A608" s="1"/>
      <c r="B608" s="59" t="s">
        <v>27</v>
      </c>
      <c r="C608" s="60"/>
      <c r="D608" s="31">
        <v>0.99</v>
      </c>
      <c r="E608" s="31">
        <v>1</v>
      </c>
      <c r="F608" s="31">
        <v>1</v>
      </c>
      <c r="G608" s="31">
        <v>0.98</v>
      </c>
      <c r="H608" s="31">
        <v>1</v>
      </c>
      <c r="I608" s="31">
        <v>0.98</v>
      </c>
      <c r="J608" s="31">
        <v>1</v>
      </c>
      <c r="K608" s="31">
        <v>0.6</v>
      </c>
      <c r="L608" s="31">
        <v>0</v>
      </c>
      <c r="M608" s="31">
        <v>0.6</v>
      </c>
      <c r="N608" s="31">
        <v>0.92</v>
      </c>
      <c r="O608" s="31">
        <v>0</v>
      </c>
      <c r="P608" s="31">
        <v>0.92</v>
      </c>
      <c r="Q608" s="54"/>
      <c r="R608" s="52"/>
      <c r="S608" s="1"/>
      <c r="T608" s="1"/>
      <c r="U608" s="1"/>
    </row>
    <row r="609" spans="1:2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52"/>
      <c r="R609" s="52"/>
      <c r="S609" s="1"/>
      <c r="T609" s="1"/>
      <c r="U609" s="1"/>
    </row>
    <row r="610" spans="1:2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52"/>
      <c r="R610" s="52"/>
      <c r="S610" s="1"/>
      <c r="T610" s="1"/>
      <c r="U610" s="1"/>
    </row>
    <row r="611" spans="1:21" ht="15.6" x14ac:dyDescent="0.3">
      <c r="A611" s="1"/>
      <c r="B611" s="3"/>
      <c r="C611" s="4" t="s">
        <v>312</v>
      </c>
      <c r="D611" s="3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5" t="s">
        <v>2</v>
      </c>
      <c r="Q611" s="54"/>
      <c r="R611" s="52"/>
      <c r="S611" s="1"/>
      <c r="T611" s="1"/>
      <c r="U611" s="1"/>
    </row>
    <row r="612" spans="1:21" ht="15.6" x14ac:dyDescent="0.3">
      <c r="A612" s="1"/>
      <c r="B612" s="3"/>
      <c r="C612" s="6">
        <v>46174</v>
      </c>
      <c r="D612" s="3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7">
        <v>0.92</v>
      </c>
      <c r="Q612" s="54"/>
      <c r="R612" s="52"/>
      <c r="S612" s="1"/>
      <c r="T612" s="1"/>
      <c r="U612" s="1"/>
    </row>
    <row r="613" spans="1:21" ht="42" x14ac:dyDescent="0.3">
      <c r="A613" s="1"/>
      <c r="B613" s="55" t="s">
        <v>3</v>
      </c>
      <c r="C613" s="55" t="s">
        <v>4</v>
      </c>
      <c r="D613" s="8" t="s">
        <v>5</v>
      </c>
      <c r="E613" s="8" t="s">
        <v>6</v>
      </c>
      <c r="F613" s="9" t="s">
        <v>7</v>
      </c>
      <c r="G613" s="9" t="s">
        <v>8</v>
      </c>
      <c r="H613" s="9" t="s">
        <v>9</v>
      </c>
      <c r="I613" s="10" t="s">
        <v>10</v>
      </c>
      <c r="J613" s="10" t="s">
        <v>11</v>
      </c>
      <c r="K613" s="11" t="s">
        <v>12</v>
      </c>
      <c r="L613" s="10" t="s">
        <v>13</v>
      </c>
      <c r="M613" s="11" t="s">
        <v>14</v>
      </c>
      <c r="N613" s="12" t="s">
        <v>15</v>
      </c>
      <c r="O613" s="57" t="s">
        <v>16</v>
      </c>
      <c r="P613" s="57" t="s">
        <v>17</v>
      </c>
      <c r="Q613" s="54"/>
      <c r="R613" s="52"/>
      <c r="S613" s="1"/>
      <c r="T613" s="1"/>
      <c r="U613" s="1"/>
    </row>
    <row r="614" spans="1:21" x14ac:dyDescent="0.3">
      <c r="A614" s="1"/>
      <c r="B614" s="56"/>
      <c r="C614" s="56"/>
      <c r="D614" s="13" t="s">
        <v>18</v>
      </c>
      <c r="E614" s="13" t="s">
        <v>18</v>
      </c>
      <c r="F614" s="13" t="s">
        <v>18</v>
      </c>
      <c r="G614" s="13" t="s">
        <v>18</v>
      </c>
      <c r="H614" s="13" t="s">
        <v>18</v>
      </c>
      <c r="I614" s="13" t="s">
        <v>18</v>
      </c>
      <c r="J614" s="13" t="s">
        <v>18</v>
      </c>
      <c r="K614" s="13" t="s">
        <v>18</v>
      </c>
      <c r="L614" s="13" t="s">
        <v>18</v>
      </c>
      <c r="M614" s="13" t="s">
        <v>18</v>
      </c>
      <c r="N614" s="14" t="s">
        <v>29</v>
      </c>
      <c r="O614" s="58"/>
      <c r="P614" s="58"/>
      <c r="Q614" s="54"/>
      <c r="R614" s="52"/>
      <c r="S614" s="1"/>
      <c r="T614" s="1"/>
      <c r="U614" s="1"/>
    </row>
    <row r="615" spans="1:21" x14ac:dyDescent="0.3">
      <c r="A615" s="1"/>
      <c r="B615" s="59" t="s">
        <v>20</v>
      </c>
      <c r="C615" s="60"/>
      <c r="D615" s="16">
        <v>0.1</v>
      </c>
      <c r="E615" s="16">
        <v>0.05</v>
      </c>
      <c r="F615" s="16">
        <v>0.1</v>
      </c>
      <c r="G615" s="16">
        <v>0.1</v>
      </c>
      <c r="H615" s="16">
        <v>0.05</v>
      </c>
      <c r="I615" s="17">
        <v>0.1</v>
      </c>
      <c r="J615" s="17">
        <v>0.35</v>
      </c>
      <c r="K615" s="17">
        <v>0.08</v>
      </c>
      <c r="L615" s="17">
        <v>0.02</v>
      </c>
      <c r="M615" s="17">
        <v>0.05</v>
      </c>
      <c r="N615" s="19">
        <v>1</v>
      </c>
      <c r="O615" s="20"/>
      <c r="P615" s="22"/>
      <c r="Q615" s="54"/>
      <c r="R615" s="52"/>
      <c r="S615" s="1"/>
      <c r="T615" s="1"/>
      <c r="U615" s="1"/>
    </row>
    <row r="616" spans="1:21" ht="18" x14ac:dyDescent="0.3">
      <c r="A616" s="1"/>
      <c r="B616" s="23">
        <v>1</v>
      </c>
      <c r="C616" s="24" t="s">
        <v>313</v>
      </c>
      <c r="D616" s="25">
        <v>0.98</v>
      </c>
      <c r="E616" s="25">
        <v>1</v>
      </c>
      <c r="F616" s="25">
        <v>1</v>
      </c>
      <c r="G616" s="25">
        <v>0.94140000000000001</v>
      </c>
      <c r="H616" s="25">
        <v>1</v>
      </c>
      <c r="I616" s="25">
        <v>1</v>
      </c>
      <c r="J616" s="25">
        <v>1</v>
      </c>
      <c r="K616" s="25">
        <v>1</v>
      </c>
      <c r="L616" s="26">
        <v>0</v>
      </c>
      <c r="M616" s="26">
        <v>1</v>
      </c>
      <c r="N616" s="27">
        <v>0.97209999999999996</v>
      </c>
      <c r="O616" s="28">
        <v>0</v>
      </c>
      <c r="P616" s="27">
        <v>0.97209999999999996</v>
      </c>
      <c r="Q616" s="54"/>
      <c r="R616" s="52"/>
      <c r="S616" s="1"/>
      <c r="T616" s="1"/>
      <c r="U616" s="1"/>
    </row>
    <row r="617" spans="1:21" ht="18" x14ac:dyDescent="0.3">
      <c r="A617" s="1"/>
      <c r="B617" s="23">
        <v>2</v>
      </c>
      <c r="C617" s="24" t="s">
        <v>314</v>
      </c>
      <c r="D617" s="25">
        <v>0.98</v>
      </c>
      <c r="E617" s="25">
        <v>1</v>
      </c>
      <c r="F617" s="25">
        <v>1</v>
      </c>
      <c r="G617" s="25">
        <v>0.87219999999999998</v>
      </c>
      <c r="H617" s="25">
        <v>1</v>
      </c>
      <c r="I617" s="25">
        <v>1</v>
      </c>
      <c r="J617" s="25">
        <v>0.8</v>
      </c>
      <c r="K617" s="25">
        <v>1</v>
      </c>
      <c r="L617" s="26">
        <v>0</v>
      </c>
      <c r="M617" s="26">
        <v>1</v>
      </c>
      <c r="N617" s="27">
        <v>0.8952</v>
      </c>
      <c r="O617" s="28">
        <v>0</v>
      </c>
      <c r="P617" s="27">
        <v>0.8952</v>
      </c>
      <c r="Q617" s="54"/>
      <c r="R617" s="52"/>
      <c r="S617" s="1"/>
      <c r="T617" s="1"/>
      <c r="U617" s="1"/>
    </row>
    <row r="618" spans="1:21" ht="18" x14ac:dyDescent="0.3">
      <c r="A618" s="1"/>
      <c r="B618" s="23">
        <v>3</v>
      </c>
      <c r="C618" s="24" t="s">
        <v>315</v>
      </c>
      <c r="D618" s="25">
        <v>1</v>
      </c>
      <c r="E618" s="25">
        <v>1</v>
      </c>
      <c r="F618" s="25">
        <v>1</v>
      </c>
      <c r="G618" s="25">
        <v>1</v>
      </c>
      <c r="H618" s="25">
        <v>1</v>
      </c>
      <c r="I618" s="25">
        <v>1</v>
      </c>
      <c r="J618" s="25">
        <v>1</v>
      </c>
      <c r="K618" s="25">
        <v>1</v>
      </c>
      <c r="L618" s="26">
        <v>0</v>
      </c>
      <c r="M618" s="26">
        <v>1</v>
      </c>
      <c r="N618" s="27">
        <v>0.98</v>
      </c>
      <c r="O618" s="28">
        <v>0</v>
      </c>
      <c r="P618" s="27">
        <v>0.98</v>
      </c>
      <c r="Q618" s="54"/>
      <c r="R618" s="52"/>
      <c r="S618" s="1"/>
      <c r="T618" s="1"/>
      <c r="U618" s="1"/>
    </row>
    <row r="619" spans="1:21" ht="18" x14ac:dyDescent="0.3">
      <c r="A619" s="1"/>
      <c r="B619" s="23">
        <v>4</v>
      </c>
      <c r="C619" s="24" t="s">
        <v>316</v>
      </c>
      <c r="D619" s="25">
        <v>1</v>
      </c>
      <c r="E619" s="25">
        <v>1</v>
      </c>
      <c r="F619" s="25">
        <v>0.99170000000000003</v>
      </c>
      <c r="G619" s="25">
        <v>0.9556</v>
      </c>
      <c r="H619" s="25">
        <v>1</v>
      </c>
      <c r="I619" s="25">
        <v>0.96409999999999996</v>
      </c>
      <c r="J619" s="25">
        <v>0.8</v>
      </c>
      <c r="K619" s="25">
        <v>0.5</v>
      </c>
      <c r="L619" s="26">
        <v>0</v>
      </c>
      <c r="M619" s="26">
        <v>1</v>
      </c>
      <c r="N619" s="27">
        <v>0.86109999999999998</v>
      </c>
      <c r="O619" s="28">
        <v>0</v>
      </c>
      <c r="P619" s="27">
        <v>0.86109999999999998</v>
      </c>
      <c r="Q619" s="54"/>
      <c r="R619" s="52"/>
      <c r="S619" s="1"/>
      <c r="T619" s="1"/>
      <c r="U619" s="1"/>
    </row>
    <row r="620" spans="1:21" ht="18" x14ac:dyDescent="0.3">
      <c r="A620" s="1"/>
      <c r="B620" s="23">
        <v>5</v>
      </c>
      <c r="C620" s="24" t="s">
        <v>317</v>
      </c>
      <c r="D620" s="25">
        <v>1</v>
      </c>
      <c r="E620" s="25">
        <v>1</v>
      </c>
      <c r="F620" s="25">
        <v>1</v>
      </c>
      <c r="G620" s="25">
        <v>0.87680000000000002</v>
      </c>
      <c r="H620" s="25">
        <v>0</v>
      </c>
      <c r="I620" s="25">
        <v>0.98809999999999998</v>
      </c>
      <c r="J620" s="25">
        <v>1</v>
      </c>
      <c r="K620" s="25">
        <v>0.5</v>
      </c>
      <c r="L620" s="26">
        <v>0</v>
      </c>
      <c r="M620" s="26">
        <v>0.5</v>
      </c>
      <c r="N620" s="27">
        <v>0.85150000000000003</v>
      </c>
      <c r="O620" s="28">
        <v>0</v>
      </c>
      <c r="P620" s="27">
        <v>0.85150000000000003</v>
      </c>
      <c r="Q620" s="54"/>
      <c r="R620" s="52"/>
      <c r="S620" s="1"/>
      <c r="T620" s="1"/>
      <c r="U620" s="1"/>
    </row>
    <row r="621" spans="1:21" ht="18" x14ac:dyDescent="0.3">
      <c r="A621" s="1"/>
      <c r="B621" s="23">
        <v>6</v>
      </c>
      <c r="C621" s="24" t="s">
        <v>318</v>
      </c>
      <c r="D621" s="25">
        <v>1</v>
      </c>
      <c r="E621" s="25">
        <v>1</v>
      </c>
      <c r="F621" s="25">
        <v>1</v>
      </c>
      <c r="G621" s="25">
        <v>0.96220000000000006</v>
      </c>
      <c r="H621" s="25">
        <v>1</v>
      </c>
      <c r="I621" s="25">
        <v>0.99809999999999999</v>
      </c>
      <c r="J621" s="25">
        <v>1</v>
      </c>
      <c r="K621" s="25">
        <v>1</v>
      </c>
      <c r="L621" s="26">
        <v>0</v>
      </c>
      <c r="M621" s="26">
        <v>0.75</v>
      </c>
      <c r="N621" s="27">
        <v>0.96350000000000002</v>
      </c>
      <c r="O621" s="28">
        <v>0</v>
      </c>
      <c r="P621" s="27">
        <v>0.96350000000000002</v>
      </c>
      <c r="Q621" s="54"/>
      <c r="R621" s="52"/>
      <c r="S621" s="1"/>
      <c r="T621" s="1"/>
      <c r="U621" s="1"/>
    </row>
    <row r="622" spans="1:21" x14ac:dyDescent="0.3">
      <c r="A622" s="1"/>
      <c r="B622" s="59" t="s">
        <v>27</v>
      </c>
      <c r="C622" s="60"/>
      <c r="D622" s="31">
        <v>0.99</v>
      </c>
      <c r="E622" s="31">
        <v>1</v>
      </c>
      <c r="F622" s="31">
        <v>1</v>
      </c>
      <c r="G622" s="31">
        <v>0.93</v>
      </c>
      <c r="H622" s="31">
        <v>0.83</v>
      </c>
      <c r="I622" s="31">
        <v>0.99</v>
      </c>
      <c r="J622" s="31">
        <v>0.93</v>
      </c>
      <c r="K622" s="31">
        <v>0.83</v>
      </c>
      <c r="L622" s="31">
        <v>0</v>
      </c>
      <c r="M622" s="31">
        <v>0.88</v>
      </c>
      <c r="N622" s="31">
        <v>0.92</v>
      </c>
      <c r="O622" s="31">
        <v>0</v>
      </c>
      <c r="P622" s="31">
        <v>0.92</v>
      </c>
      <c r="Q622" s="54"/>
      <c r="R622" s="52"/>
      <c r="S622" s="1"/>
      <c r="T622" s="1"/>
      <c r="U622" s="1"/>
    </row>
    <row r="623" spans="1:2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52"/>
      <c r="R623" s="52"/>
      <c r="S623" s="1"/>
      <c r="T623" s="1"/>
      <c r="U623" s="1"/>
    </row>
    <row r="624" spans="1:2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52"/>
      <c r="R624" s="52"/>
      <c r="S624" s="1"/>
      <c r="T624" s="1"/>
      <c r="U624" s="1"/>
    </row>
    <row r="625" spans="1:21" ht="15.6" x14ac:dyDescent="0.3">
      <c r="A625" s="1"/>
      <c r="B625" s="3"/>
      <c r="C625" s="4" t="s">
        <v>319</v>
      </c>
      <c r="D625" s="3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5" t="s">
        <v>2</v>
      </c>
      <c r="Q625" s="54"/>
      <c r="R625" s="52"/>
      <c r="S625" s="1"/>
      <c r="T625" s="1"/>
      <c r="U625" s="1"/>
    </row>
    <row r="626" spans="1:21" ht="15.6" x14ac:dyDescent="0.3">
      <c r="A626" s="1"/>
      <c r="B626" s="3"/>
      <c r="C626" s="6">
        <v>46174</v>
      </c>
      <c r="D626" s="3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7">
        <v>0.95</v>
      </c>
      <c r="Q626" s="54"/>
      <c r="R626" s="52"/>
      <c r="S626" s="1"/>
      <c r="T626" s="1"/>
      <c r="U626" s="1"/>
    </row>
    <row r="627" spans="1:21" ht="42" x14ac:dyDescent="0.3">
      <c r="A627" s="1"/>
      <c r="B627" s="55" t="s">
        <v>3</v>
      </c>
      <c r="C627" s="55" t="s">
        <v>4</v>
      </c>
      <c r="D627" s="8" t="s">
        <v>5</v>
      </c>
      <c r="E627" s="8" t="s">
        <v>6</v>
      </c>
      <c r="F627" s="9" t="s">
        <v>7</v>
      </c>
      <c r="G627" s="9" t="s">
        <v>8</v>
      </c>
      <c r="H627" s="9" t="s">
        <v>9</v>
      </c>
      <c r="I627" s="10" t="s">
        <v>10</v>
      </c>
      <c r="J627" s="10" t="s">
        <v>11</v>
      </c>
      <c r="K627" s="11" t="s">
        <v>12</v>
      </c>
      <c r="L627" s="10" t="s">
        <v>13</v>
      </c>
      <c r="M627" s="11" t="s">
        <v>14</v>
      </c>
      <c r="N627" s="12" t="s">
        <v>15</v>
      </c>
      <c r="O627" s="57" t="s">
        <v>16</v>
      </c>
      <c r="P627" s="57" t="s">
        <v>17</v>
      </c>
      <c r="Q627" s="54"/>
      <c r="R627" s="52"/>
      <c r="S627" s="1"/>
      <c r="T627" s="1"/>
      <c r="U627" s="1"/>
    </row>
    <row r="628" spans="1:21" x14ac:dyDescent="0.3">
      <c r="A628" s="1"/>
      <c r="B628" s="56"/>
      <c r="C628" s="56"/>
      <c r="D628" s="13" t="s">
        <v>18</v>
      </c>
      <c r="E628" s="13" t="s">
        <v>18</v>
      </c>
      <c r="F628" s="13" t="s">
        <v>18</v>
      </c>
      <c r="G628" s="13" t="s">
        <v>18</v>
      </c>
      <c r="H628" s="13" t="s">
        <v>18</v>
      </c>
      <c r="I628" s="13" t="s">
        <v>18</v>
      </c>
      <c r="J628" s="13" t="s">
        <v>18</v>
      </c>
      <c r="K628" s="13" t="s">
        <v>18</v>
      </c>
      <c r="L628" s="13" t="s">
        <v>18</v>
      </c>
      <c r="M628" s="13" t="s">
        <v>18</v>
      </c>
      <c r="N628" s="14" t="s">
        <v>29</v>
      </c>
      <c r="O628" s="58"/>
      <c r="P628" s="58"/>
      <c r="Q628" s="54"/>
      <c r="R628" s="52"/>
      <c r="S628" s="1"/>
      <c r="T628" s="1"/>
      <c r="U628" s="1"/>
    </row>
    <row r="629" spans="1:21" x14ac:dyDescent="0.3">
      <c r="A629" s="1"/>
      <c r="B629" s="59" t="s">
        <v>20</v>
      </c>
      <c r="C629" s="60"/>
      <c r="D629" s="16">
        <v>0.1</v>
      </c>
      <c r="E629" s="16">
        <v>0.05</v>
      </c>
      <c r="F629" s="16">
        <v>0.1</v>
      </c>
      <c r="G629" s="16">
        <v>0.1</v>
      </c>
      <c r="H629" s="16">
        <v>0.05</v>
      </c>
      <c r="I629" s="17">
        <v>0.1</v>
      </c>
      <c r="J629" s="17">
        <v>0.35</v>
      </c>
      <c r="K629" s="17">
        <v>0.08</v>
      </c>
      <c r="L629" s="17">
        <v>0.02</v>
      </c>
      <c r="M629" s="17">
        <v>0.05</v>
      </c>
      <c r="N629" s="19">
        <v>1</v>
      </c>
      <c r="O629" s="20"/>
      <c r="P629" s="22"/>
      <c r="Q629" s="54"/>
      <c r="R629" s="52"/>
      <c r="S629" s="1"/>
      <c r="T629" s="1"/>
      <c r="U629" s="1"/>
    </row>
    <row r="630" spans="1:21" ht="18" x14ac:dyDescent="0.3">
      <c r="A630" s="1"/>
      <c r="B630" s="23">
        <v>1</v>
      </c>
      <c r="C630" s="24" t="s">
        <v>320</v>
      </c>
      <c r="D630" s="25">
        <v>1</v>
      </c>
      <c r="E630" s="25">
        <v>1</v>
      </c>
      <c r="F630" s="25">
        <v>1</v>
      </c>
      <c r="G630" s="25">
        <v>1</v>
      </c>
      <c r="H630" s="25">
        <v>1</v>
      </c>
      <c r="I630" s="25">
        <v>0.98470000000000002</v>
      </c>
      <c r="J630" s="25">
        <v>1</v>
      </c>
      <c r="K630" s="25">
        <v>1</v>
      </c>
      <c r="L630" s="26">
        <v>0</v>
      </c>
      <c r="M630" s="26">
        <v>1</v>
      </c>
      <c r="N630" s="27">
        <v>0.97850000000000004</v>
      </c>
      <c r="O630" s="28">
        <v>0</v>
      </c>
      <c r="P630" s="27">
        <v>0.97850000000000004</v>
      </c>
      <c r="Q630" s="54"/>
      <c r="R630" s="52"/>
      <c r="S630" s="1"/>
      <c r="T630" s="1"/>
      <c r="U630" s="1"/>
    </row>
    <row r="631" spans="1:21" ht="18" x14ac:dyDescent="0.3">
      <c r="A631" s="1"/>
      <c r="B631" s="23">
        <v>2</v>
      </c>
      <c r="C631" s="24" t="s">
        <v>321</v>
      </c>
      <c r="D631" s="25">
        <v>0.98</v>
      </c>
      <c r="E631" s="25">
        <v>1</v>
      </c>
      <c r="F631" s="25">
        <v>1</v>
      </c>
      <c r="G631" s="25">
        <v>1</v>
      </c>
      <c r="H631" s="25">
        <v>1</v>
      </c>
      <c r="I631" s="25">
        <v>0.98080000000000001</v>
      </c>
      <c r="J631" s="25">
        <v>1</v>
      </c>
      <c r="K631" s="25">
        <v>0.5</v>
      </c>
      <c r="L631" s="26">
        <v>1</v>
      </c>
      <c r="M631" s="26">
        <v>1</v>
      </c>
      <c r="N631" s="27">
        <v>0.95609999999999995</v>
      </c>
      <c r="O631" s="28">
        <v>0</v>
      </c>
      <c r="P631" s="27">
        <v>0.95609999999999995</v>
      </c>
      <c r="Q631" s="54"/>
      <c r="R631" s="52"/>
      <c r="S631" s="1"/>
      <c r="T631" s="1"/>
      <c r="U631" s="1"/>
    </row>
    <row r="632" spans="1:21" ht="18" x14ac:dyDescent="0.3">
      <c r="A632" s="1"/>
      <c r="B632" s="23">
        <v>3</v>
      </c>
      <c r="C632" s="24" t="s">
        <v>322</v>
      </c>
      <c r="D632" s="25">
        <v>0.98</v>
      </c>
      <c r="E632" s="25">
        <v>1</v>
      </c>
      <c r="F632" s="25">
        <v>1</v>
      </c>
      <c r="G632" s="25">
        <v>1</v>
      </c>
      <c r="H632" s="25">
        <v>1</v>
      </c>
      <c r="I632" s="25">
        <v>0.99260000000000004</v>
      </c>
      <c r="J632" s="25">
        <v>1</v>
      </c>
      <c r="K632" s="25">
        <v>1</v>
      </c>
      <c r="L632" s="26">
        <v>0</v>
      </c>
      <c r="M632" s="26">
        <v>0.5</v>
      </c>
      <c r="N632" s="27">
        <v>0.95230000000000004</v>
      </c>
      <c r="O632" s="28">
        <v>0</v>
      </c>
      <c r="P632" s="27">
        <v>0.95230000000000004</v>
      </c>
      <c r="Q632" s="54"/>
      <c r="R632" s="52"/>
      <c r="S632" s="1"/>
      <c r="T632" s="1"/>
      <c r="U632" s="1"/>
    </row>
    <row r="633" spans="1:21" ht="18" x14ac:dyDescent="0.3">
      <c r="A633" s="1"/>
      <c r="B633" s="23">
        <v>4</v>
      </c>
      <c r="C633" s="24" t="s">
        <v>323</v>
      </c>
      <c r="D633" s="25">
        <v>1</v>
      </c>
      <c r="E633" s="25">
        <v>1</v>
      </c>
      <c r="F633" s="25">
        <v>1</v>
      </c>
      <c r="G633" s="25">
        <v>1</v>
      </c>
      <c r="H633" s="25">
        <v>1</v>
      </c>
      <c r="I633" s="25">
        <v>1</v>
      </c>
      <c r="J633" s="25">
        <v>1</v>
      </c>
      <c r="K633" s="25">
        <v>0.5</v>
      </c>
      <c r="L633" s="26">
        <v>0</v>
      </c>
      <c r="M633" s="26">
        <v>0.5</v>
      </c>
      <c r="N633" s="27">
        <v>0.91500000000000004</v>
      </c>
      <c r="O633" s="28">
        <v>0</v>
      </c>
      <c r="P633" s="27">
        <v>0.91500000000000004</v>
      </c>
      <c r="Q633" s="54"/>
      <c r="R633" s="52"/>
      <c r="S633" s="1"/>
      <c r="T633" s="1"/>
      <c r="U633" s="1"/>
    </row>
    <row r="634" spans="1:21" ht="18" x14ac:dyDescent="0.3">
      <c r="A634" s="1"/>
      <c r="B634" s="23">
        <v>5</v>
      </c>
      <c r="C634" s="24" t="s">
        <v>324</v>
      </c>
      <c r="D634" s="25">
        <v>1</v>
      </c>
      <c r="E634" s="25">
        <v>1</v>
      </c>
      <c r="F634" s="25">
        <v>1</v>
      </c>
      <c r="G634" s="25">
        <v>0.95020000000000004</v>
      </c>
      <c r="H634" s="25">
        <v>1</v>
      </c>
      <c r="I634" s="25">
        <v>1</v>
      </c>
      <c r="J634" s="25">
        <v>1</v>
      </c>
      <c r="K634" s="25">
        <v>0.5</v>
      </c>
      <c r="L634" s="26">
        <v>1</v>
      </c>
      <c r="M634" s="26">
        <v>1</v>
      </c>
      <c r="N634" s="27">
        <v>0.95499999999999996</v>
      </c>
      <c r="O634" s="28">
        <v>0</v>
      </c>
      <c r="P634" s="27">
        <v>0.95499999999999996</v>
      </c>
      <c r="Q634" s="54"/>
      <c r="R634" s="52"/>
      <c r="S634" s="1"/>
      <c r="T634" s="1"/>
      <c r="U634" s="1"/>
    </row>
    <row r="635" spans="1:21" x14ac:dyDescent="0.3">
      <c r="A635" s="1"/>
      <c r="B635" s="59" t="s">
        <v>27</v>
      </c>
      <c r="C635" s="60"/>
      <c r="D635" s="31">
        <v>0.99</v>
      </c>
      <c r="E635" s="31">
        <v>1</v>
      </c>
      <c r="F635" s="31">
        <v>1</v>
      </c>
      <c r="G635" s="31">
        <v>0.99</v>
      </c>
      <c r="H635" s="31">
        <v>1</v>
      </c>
      <c r="I635" s="31">
        <v>0.99</v>
      </c>
      <c r="J635" s="31">
        <v>1</v>
      </c>
      <c r="K635" s="31">
        <v>0.7</v>
      </c>
      <c r="L635" s="31">
        <v>0.4</v>
      </c>
      <c r="M635" s="31">
        <v>0.8</v>
      </c>
      <c r="N635" s="31">
        <v>0.95</v>
      </c>
      <c r="O635" s="31">
        <v>0</v>
      </c>
      <c r="P635" s="31">
        <v>0.95</v>
      </c>
      <c r="Q635" s="54"/>
      <c r="R635" s="52"/>
      <c r="S635" s="1"/>
      <c r="T635" s="1"/>
      <c r="U635" s="1"/>
    </row>
    <row r="636" spans="1:21" ht="17.399999999999999" x14ac:dyDescent="0.3">
      <c r="A636" s="1"/>
      <c r="B636" s="1"/>
      <c r="C636" s="4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52"/>
      <c r="R636" s="52"/>
      <c r="S636" s="1"/>
      <c r="T636" s="1"/>
      <c r="U636" s="1"/>
    </row>
    <row r="637" spans="1:2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52"/>
      <c r="R637" s="52"/>
      <c r="S637" s="1"/>
      <c r="T637" s="1"/>
      <c r="U637" s="1"/>
    </row>
    <row r="638" spans="1:21" ht="15.6" x14ac:dyDescent="0.3">
      <c r="A638" s="1"/>
      <c r="B638" s="3"/>
      <c r="C638" s="4" t="s">
        <v>325</v>
      </c>
      <c r="D638" s="3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5" t="s">
        <v>2</v>
      </c>
      <c r="Q638" s="54"/>
      <c r="R638" s="52"/>
      <c r="S638" s="1"/>
      <c r="T638" s="1"/>
      <c r="U638" s="1"/>
    </row>
    <row r="639" spans="1:21" ht="15.6" x14ac:dyDescent="0.3">
      <c r="A639" s="1"/>
      <c r="B639" s="3"/>
      <c r="C639" s="6">
        <v>46174</v>
      </c>
      <c r="D639" s="3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7">
        <v>0.93</v>
      </c>
      <c r="Q639" s="54"/>
      <c r="R639" s="52"/>
      <c r="S639" s="1"/>
      <c r="T639" s="1"/>
      <c r="U639" s="1"/>
    </row>
    <row r="640" spans="1:21" ht="42" x14ac:dyDescent="0.3">
      <c r="A640" s="1"/>
      <c r="B640" s="55" t="s">
        <v>3</v>
      </c>
      <c r="C640" s="55" t="s">
        <v>4</v>
      </c>
      <c r="D640" s="8" t="s">
        <v>5</v>
      </c>
      <c r="E640" s="8" t="s">
        <v>6</v>
      </c>
      <c r="F640" s="9" t="s">
        <v>7</v>
      </c>
      <c r="G640" s="9" t="s">
        <v>8</v>
      </c>
      <c r="H640" s="9" t="s">
        <v>9</v>
      </c>
      <c r="I640" s="10" t="s">
        <v>10</v>
      </c>
      <c r="J640" s="10" t="s">
        <v>11</v>
      </c>
      <c r="K640" s="11" t="s">
        <v>12</v>
      </c>
      <c r="L640" s="10" t="s">
        <v>13</v>
      </c>
      <c r="M640" s="11" t="s">
        <v>14</v>
      </c>
      <c r="N640" s="12" t="s">
        <v>15</v>
      </c>
      <c r="O640" s="57" t="s">
        <v>16</v>
      </c>
      <c r="P640" s="57" t="s">
        <v>17</v>
      </c>
      <c r="Q640" s="54"/>
      <c r="R640" s="52"/>
      <c r="S640" s="1"/>
      <c r="T640" s="1"/>
      <c r="U640" s="1"/>
    </row>
    <row r="641" spans="1:21" x14ac:dyDescent="0.3">
      <c r="A641" s="1"/>
      <c r="B641" s="56"/>
      <c r="C641" s="56"/>
      <c r="D641" s="13" t="s">
        <v>18</v>
      </c>
      <c r="E641" s="13" t="s">
        <v>18</v>
      </c>
      <c r="F641" s="13" t="s">
        <v>18</v>
      </c>
      <c r="G641" s="13" t="s">
        <v>18</v>
      </c>
      <c r="H641" s="13" t="s">
        <v>18</v>
      </c>
      <c r="I641" s="13" t="s">
        <v>18</v>
      </c>
      <c r="J641" s="13" t="s">
        <v>18</v>
      </c>
      <c r="K641" s="13" t="s">
        <v>18</v>
      </c>
      <c r="L641" s="13" t="s">
        <v>18</v>
      </c>
      <c r="M641" s="13" t="s">
        <v>18</v>
      </c>
      <c r="N641" s="14" t="s">
        <v>29</v>
      </c>
      <c r="O641" s="58"/>
      <c r="P641" s="58"/>
      <c r="Q641" s="54"/>
      <c r="R641" s="52"/>
      <c r="S641" s="1"/>
      <c r="T641" s="1"/>
      <c r="U641" s="1"/>
    </row>
    <row r="642" spans="1:21" x14ac:dyDescent="0.3">
      <c r="A642" s="1"/>
      <c r="B642" s="59" t="s">
        <v>20</v>
      </c>
      <c r="C642" s="60"/>
      <c r="D642" s="16">
        <v>0.1</v>
      </c>
      <c r="E642" s="16">
        <v>0.05</v>
      </c>
      <c r="F642" s="16">
        <v>0.1</v>
      </c>
      <c r="G642" s="16">
        <v>0.1</v>
      </c>
      <c r="H642" s="16">
        <v>0.05</v>
      </c>
      <c r="I642" s="17">
        <v>0.1</v>
      </c>
      <c r="J642" s="17">
        <v>0.35</v>
      </c>
      <c r="K642" s="17">
        <v>0.08</v>
      </c>
      <c r="L642" s="17">
        <v>0.02</v>
      </c>
      <c r="M642" s="17">
        <v>0.05</v>
      </c>
      <c r="N642" s="19">
        <v>1</v>
      </c>
      <c r="O642" s="20"/>
      <c r="P642" s="22"/>
      <c r="Q642" s="54"/>
      <c r="R642" s="52"/>
      <c r="S642" s="1"/>
      <c r="T642" s="1"/>
      <c r="U642" s="1"/>
    </row>
    <row r="643" spans="1:21" ht="18" x14ac:dyDescent="0.3">
      <c r="A643" s="1"/>
      <c r="B643" s="23">
        <v>1</v>
      </c>
      <c r="C643" s="24" t="s">
        <v>326</v>
      </c>
      <c r="D643" s="25">
        <v>1</v>
      </c>
      <c r="E643" s="25">
        <v>1</v>
      </c>
      <c r="F643" s="25">
        <v>1</v>
      </c>
      <c r="G643" s="25">
        <v>1</v>
      </c>
      <c r="H643" s="25">
        <v>1</v>
      </c>
      <c r="I643" s="25">
        <v>1</v>
      </c>
      <c r="J643" s="25">
        <v>1</v>
      </c>
      <c r="K643" s="25">
        <v>1</v>
      </c>
      <c r="L643" s="26">
        <v>0</v>
      </c>
      <c r="M643" s="26">
        <v>0.5</v>
      </c>
      <c r="N643" s="27">
        <v>0.95499999999999996</v>
      </c>
      <c r="O643" s="28">
        <v>0</v>
      </c>
      <c r="P643" s="27">
        <v>0.95499999999999996</v>
      </c>
      <c r="Q643" s="54"/>
      <c r="R643" s="52"/>
      <c r="S643" s="1"/>
      <c r="T643" s="1"/>
      <c r="U643" s="1"/>
    </row>
    <row r="644" spans="1:21" ht="18" x14ac:dyDescent="0.3">
      <c r="A644" s="1"/>
      <c r="B644" s="23">
        <v>2</v>
      </c>
      <c r="C644" s="24" t="s">
        <v>327</v>
      </c>
      <c r="D644" s="25">
        <v>1</v>
      </c>
      <c r="E644" s="25">
        <v>1</v>
      </c>
      <c r="F644" s="25">
        <v>1</v>
      </c>
      <c r="G644" s="25">
        <v>1</v>
      </c>
      <c r="H644" s="25">
        <v>1</v>
      </c>
      <c r="I644" s="25">
        <v>1</v>
      </c>
      <c r="J644" s="25">
        <v>1</v>
      </c>
      <c r="K644" s="25">
        <v>1</v>
      </c>
      <c r="L644" s="26">
        <v>1</v>
      </c>
      <c r="M644" s="26">
        <v>1</v>
      </c>
      <c r="N644" s="27">
        <v>1</v>
      </c>
      <c r="O644" s="28">
        <v>0</v>
      </c>
      <c r="P644" s="27">
        <v>1</v>
      </c>
      <c r="Q644" s="54"/>
      <c r="R644" s="52"/>
      <c r="S644" s="1"/>
      <c r="T644" s="1"/>
      <c r="U644" s="1"/>
    </row>
    <row r="645" spans="1:21" ht="18" x14ac:dyDescent="0.3">
      <c r="A645" s="1"/>
      <c r="B645" s="23">
        <v>3</v>
      </c>
      <c r="C645" s="24" t="s">
        <v>328</v>
      </c>
      <c r="D645" s="25">
        <v>1</v>
      </c>
      <c r="E645" s="25">
        <v>1</v>
      </c>
      <c r="F645" s="25">
        <v>1</v>
      </c>
      <c r="G645" s="25">
        <v>1</v>
      </c>
      <c r="H645" s="25">
        <v>1</v>
      </c>
      <c r="I645" s="25">
        <v>0.98919999999999997</v>
      </c>
      <c r="J645" s="25">
        <v>1</v>
      </c>
      <c r="K645" s="25">
        <v>1</v>
      </c>
      <c r="L645" s="26">
        <v>0</v>
      </c>
      <c r="M645" s="26">
        <v>0.5</v>
      </c>
      <c r="N645" s="27">
        <v>0.95389999999999997</v>
      </c>
      <c r="O645" s="28">
        <v>0</v>
      </c>
      <c r="P645" s="27">
        <v>0.95389999999999997</v>
      </c>
      <c r="Q645" s="54"/>
      <c r="R645" s="52"/>
      <c r="S645" s="1"/>
      <c r="T645" s="1"/>
      <c r="U645" s="1"/>
    </row>
    <row r="646" spans="1:21" ht="18" x14ac:dyDescent="0.3">
      <c r="A646" s="1"/>
      <c r="B646" s="23">
        <v>4</v>
      </c>
      <c r="C646" s="24" t="s">
        <v>329</v>
      </c>
      <c r="D646" s="25">
        <v>1</v>
      </c>
      <c r="E646" s="25">
        <v>0.99</v>
      </c>
      <c r="F646" s="25">
        <v>1</v>
      </c>
      <c r="G646" s="25">
        <v>1</v>
      </c>
      <c r="H646" s="25">
        <v>1</v>
      </c>
      <c r="I646" s="25">
        <v>1</v>
      </c>
      <c r="J646" s="25">
        <v>0.8</v>
      </c>
      <c r="K646" s="25">
        <v>0.5</v>
      </c>
      <c r="L646" s="26">
        <v>1</v>
      </c>
      <c r="M646" s="26">
        <v>1</v>
      </c>
      <c r="N646" s="27">
        <v>0.88949999999999996</v>
      </c>
      <c r="O646" s="28">
        <v>0</v>
      </c>
      <c r="P646" s="27">
        <v>0.88949999999999996</v>
      </c>
      <c r="Q646" s="54"/>
      <c r="R646" s="52"/>
      <c r="S646" s="1"/>
      <c r="T646" s="1"/>
      <c r="U646" s="1"/>
    </row>
    <row r="647" spans="1:21" ht="18" x14ac:dyDescent="0.3">
      <c r="A647" s="1"/>
      <c r="B647" s="23">
        <v>5</v>
      </c>
      <c r="C647" s="24" t="s">
        <v>330</v>
      </c>
      <c r="D647" s="25">
        <v>1</v>
      </c>
      <c r="E647" s="25">
        <v>1</v>
      </c>
      <c r="F647" s="25">
        <v>1</v>
      </c>
      <c r="G647" s="25">
        <v>0.87860000000000005</v>
      </c>
      <c r="H647" s="25">
        <v>0</v>
      </c>
      <c r="I647" s="25">
        <v>0.99790000000000001</v>
      </c>
      <c r="J647" s="25">
        <v>1</v>
      </c>
      <c r="K647" s="25">
        <v>0.5</v>
      </c>
      <c r="L647" s="26">
        <v>0</v>
      </c>
      <c r="M647" s="26">
        <v>0.5</v>
      </c>
      <c r="N647" s="27">
        <v>0.85270000000000001</v>
      </c>
      <c r="O647" s="28">
        <v>0</v>
      </c>
      <c r="P647" s="27">
        <v>0.85270000000000001</v>
      </c>
      <c r="Q647" s="54"/>
      <c r="R647" s="52"/>
      <c r="S647" s="1"/>
      <c r="T647" s="1"/>
      <c r="U647" s="1"/>
    </row>
    <row r="648" spans="1:21" x14ac:dyDescent="0.3">
      <c r="A648" s="1"/>
      <c r="B648" s="59" t="s">
        <v>27</v>
      </c>
      <c r="C648" s="60"/>
      <c r="D648" s="31">
        <v>1</v>
      </c>
      <c r="E648" s="31">
        <v>1</v>
      </c>
      <c r="F648" s="31">
        <v>1</v>
      </c>
      <c r="G648" s="31">
        <v>0.98</v>
      </c>
      <c r="H648" s="31">
        <v>0.8</v>
      </c>
      <c r="I648" s="31">
        <v>1</v>
      </c>
      <c r="J648" s="31">
        <v>0.96</v>
      </c>
      <c r="K648" s="31">
        <v>0.8</v>
      </c>
      <c r="L648" s="31">
        <v>0.4</v>
      </c>
      <c r="M648" s="31">
        <v>0.7</v>
      </c>
      <c r="N648" s="31">
        <v>0.93</v>
      </c>
      <c r="O648" s="31">
        <v>0</v>
      </c>
      <c r="P648" s="31">
        <v>0.93</v>
      </c>
      <c r="Q648" s="54"/>
      <c r="R648" s="52"/>
      <c r="S648" s="1"/>
      <c r="T648" s="1"/>
      <c r="U648" s="1"/>
    </row>
    <row r="649" spans="1:2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52"/>
      <c r="R649" s="52"/>
      <c r="S649" s="1"/>
      <c r="T649" s="1"/>
      <c r="U649" s="1"/>
    </row>
    <row r="650" spans="1:2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52"/>
      <c r="R650" s="52"/>
      <c r="S650" s="1"/>
      <c r="T650" s="1"/>
      <c r="U650" s="1"/>
    </row>
    <row r="651" spans="1:21" ht="15.6" x14ac:dyDescent="0.3">
      <c r="A651" s="1"/>
      <c r="B651" s="3"/>
      <c r="C651" s="4" t="s">
        <v>331</v>
      </c>
      <c r="D651" s="3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5" t="s">
        <v>2</v>
      </c>
      <c r="Q651" s="54"/>
      <c r="R651" s="52"/>
      <c r="S651" s="1"/>
      <c r="T651" s="1"/>
      <c r="U651" s="1"/>
    </row>
    <row r="652" spans="1:21" ht="15.6" x14ac:dyDescent="0.3">
      <c r="A652" s="1"/>
      <c r="B652" s="3"/>
      <c r="C652" s="6">
        <v>46174</v>
      </c>
      <c r="D652" s="3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7">
        <v>0.94</v>
      </c>
      <c r="Q652" s="54"/>
      <c r="R652" s="52"/>
      <c r="S652" s="1"/>
      <c r="T652" s="1"/>
      <c r="U652" s="1"/>
    </row>
    <row r="653" spans="1:21" ht="42" x14ac:dyDescent="0.3">
      <c r="A653" s="1"/>
      <c r="B653" s="55" t="s">
        <v>3</v>
      </c>
      <c r="C653" s="55" t="s">
        <v>4</v>
      </c>
      <c r="D653" s="8" t="s">
        <v>5</v>
      </c>
      <c r="E653" s="8" t="s">
        <v>6</v>
      </c>
      <c r="F653" s="9" t="s">
        <v>7</v>
      </c>
      <c r="G653" s="9" t="s">
        <v>8</v>
      </c>
      <c r="H653" s="9" t="s">
        <v>9</v>
      </c>
      <c r="I653" s="10" t="s">
        <v>10</v>
      </c>
      <c r="J653" s="10" t="s">
        <v>11</v>
      </c>
      <c r="K653" s="11" t="s">
        <v>12</v>
      </c>
      <c r="L653" s="10" t="s">
        <v>13</v>
      </c>
      <c r="M653" s="11" t="s">
        <v>14</v>
      </c>
      <c r="N653" s="12" t="s">
        <v>15</v>
      </c>
      <c r="O653" s="57" t="s">
        <v>16</v>
      </c>
      <c r="P653" s="57" t="s">
        <v>17</v>
      </c>
      <c r="Q653" s="54"/>
      <c r="R653" s="52"/>
      <c r="S653" s="1"/>
      <c r="T653" s="1"/>
      <c r="U653" s="1"/>
    </row>
    <row r="654" spans="1:21" x14ac:dyDescent="0.3">
      <c r="A654" s="1"/>
      <c r="B654" s="56"/>
      <c r="C654" s="56"/>
      <c r="D654" s="13" t="s">
        <v>18</v>
      </c>
      <c r="E654" s="13" t="s">
        <v>18</v>
      </c>
      <c r="F654" s="13" t="s">
        <v>18</v>
      </c>
      <c r="G654" s="13" t="s">
        <v>18</v>
      </c>
      <c r="H654" s="13" t="s">
        <v>18</v>
      </c>
      <c r="I654" s="13" t="s">
        <v>18</v>
      </c>
      <c r="J654" s="13" t="s">
        <v>18</v>
      </c>
      <c r="K654" s="13" t="s">
        <v>18</v>
      </c>
      <c r="L654" s="13" t="s">
        <v>18</v>
      </c>
      <c r="M654" s="13" t="s">
        <v>18</v>
      </c>
      <c r="N654" s="14" t="s">
        <v>29</v>
      </c>
      <c r="O654" s="58"/>
      <c r="P654" s="58"/>
      <c r="Q654" s="54"/>
      <c r="R654" s="52"/>
      <c r="S654" s="1"/>
      <c r="T654" s="1"/>
      <c r="U654" s="1"/>
    </row>
    <row r="655" spans="1:21" x14ac:dyDescent="0.3">
      <c r="A655" s="1"/>
      <c r="B655" s="59" t="s">
        <v>20</v>
      </c>
      <c r="C655" s="60"/>
      <c r="D655" s="16">
        <v>0.1</v>
      </c>
      <c r="E655" s="16">
        <v>0.05</v>
      </c>
      <c r="F655" s="16">
        <v>0.1</v>
      </c>
      <c r="G655" s="16">
        <v>0.1</v>
      </c>
      <c r="H655" s="16">
        <v>0.05</v>
      </c>
      <c r="I655" s="17">
        <v>0.1</v>
      </c>
      <c r="J655" s="17">
        <v>0.35</v>
      </c>
      <c r="K655" s="17">
        <v>0.08</v>
      </c>
      <c r="L655" s="17">
        <v>0.02</v>
      </c>
      <c r="M655" s="17">
        <v>0.05</v>
      </c>
      <c r="N655" s="19">
        <v>1</v>
      </c>
      <c r="O655" s="20"/>
      <c r="P655" s="22"/>
      <c r="Q655" s="54"/>
      <c r="R655" s="52"/>
      <c r="S655" s="1"/>
      <c r="T655" s="1"/>
      <c r="U655" s="1"/>
    </row>
    <row r="656" spans="1:21" ht="18" x14ac:dyDescent="0.3">
      <c r="A656" s="1"/>
      <c r="B656" s="23">
        <v>1</v>
      </c>
      <c r="C656" s="24" t="s">
        <v>332</v>
      </c>
      <c r="D656" s="25">
        <v>0.98</v>
      </c>
      <c r="E656" s="25">
        <v>1</v>
      </c>
      <c r="F656" s="25">
        <v>1</v>
      </c>
      <c r="G656" s="25">
        <v>1</v>
      </c>
      <c r="H656" s="25">
        <v>1</v>
      </c>
      <c r="I656" s="25">
        <v>1</v>
      </c>
      <c r="J656" s="25">
        <v>1</v>
      </c>
      <c r="K656" s="25">
        <v>1</v>
      </c>
      <c r="L656" s="26">
        <v>0</v>
      </c>
      <c r="M656" s="26">
        <v>1</v>
      </c>
      <c r="N656" s="27">
        <v>0.97799999999999998</v>
      </c>
      <c r="O656" s="28">
        <v>0</v>
      </c>
      <c r="P656" s="27">
        <v>0.97799999999999998</v>
      </c>
      <c r="Q656" s="54"/>
      <c r="R656" s="52"/>
      <c r="S656" s="1"/>
      <c r="T656" s="1"/>
      <c r="U656" s="1"/>
    </row>
    <row r="657" spans="1:21" ht="18" x14ac:dyDescent="0.3">
      <c r="A657" s="1"/>
      <c r="B657" s="23">
        <v>2</v>
      </c>
      <c r="C657" s="24" t="s">
        <v>333</v>
      </c>
      <c r="D657" s="25">
        <v>0.98</v>
      </c>
      <c r="E657" s="25">
        <v>1</v>
      </c>
      <c r="F657" s="25">
        <v>1</v>
      </c>
      <c r="G657" s="25">
        <v>1</v>
      </c>
      <c r="H657" s="25">
        <v>1</v>
      </c>
      <c r="I657" s="25">
        <v>0.99790000000000001</v>
      </c>
      <c r="J657" s="25">
        <v>1</v>
      </c>
      <c r="K657" s="25">
        <v>0</v>
      </c>
      <c r="L657" s="26">
        <v>0</v>
      </c>
      <c r="M657" s="26">
        <v>0.75</v>
      </c>
      <c r="N657" s="27">
        <v>0.88529999999999998</v>
      </c>
      <c r="O657" s="28">
        <v>0</v>
      </c>
      <c r="P657" s="27">
        <v>0.88529999999999998</v>
      </c>
      <c r="Q657" s="54"/>
      <c r="R657" s="52"/>
      <c r="S657" s="1"/>
      <c r="T657" s="1"/>
      <c r="U657" s="1"/>
    </row>
    <row r="658" spans="1:21" ht="18" x14ac:dyDescent="0.3">
      <c r="A658" s="1"/>
      <c r="B658" s="23">
        <v>3</v>
      </c>
      <c r="C658" s="24" t="s">
        <v>334</v>
      </c>
      <c r="D658" s="25">
        <v>0.98</v>
      </c>
      <c r="E658" s="25">
        <v>1</v>
      </c>
      <c r="F658" s="25">
        <v>1</v>
      </c>
      <c r="G658" s="25">
        <v>1</v>
      </c>
      <c r="H658" s="25">
        <v>0</v>
      </c>
      <c r="I658" s="25">
        <v>1</v>
      </c>
      <c r="J658" s="25">
        <v>1</v>
      </c>
      <c r="K658" s="25">
        <v>0.5</v>
      </c>
      <c r="L658" s="26">
        <v>0</v>
      </c>
      <c r="M658" s="26">
        <v>1</v>
      </c>
      <c r="N658" s="27">
        <v>0.88800000000000001</v>
      </c>
      <c r="O658" s="28">
        <v>0</v>
      </c>
      <c r="P658" s="27">
        <v>0.88800000000000001</v>
      </c>
      <c r="Q658" s="54"/>
      <c r="R658" s="52"/>
      <c r="S658" s="1"/>
      <c r="T658" s="1"/>
      <c r="U658" s="1"/>
    </row>
    <row r="659" spans="1:21" ht="18" x14ac:dyDescent="0.3">
      <c r="A659" s="1"/>
      <c r="B659" s="23">
        <v>4</v>
      </c>
      <c r="C659" s="24" t="s">
        <v>335</v>
      </c>
      <c r="D659" s="25">
        <v>0.98</v>
      </c>
      <c r="E659" s="25">
        <v>1</v>
      </c>
      <c r="F659" s="25">
        <v>1</v>
      </c>
      <c r="G659" s="25">
        <v>0.91180000000000005</v>
      </c>
      <c r="H659" s="25">
        <v>1</v>
      </c>
      <c r="I659" s="25">
        <v>1</v>
      </c>
      <c r="J659" s="25">
        <v>1</v>
      </c>
      <c r="K659" s="25">
        <v>1</v>
      </c>
      <c r="L659" s="26">
        <v>0</v>
      </c>
      <c r="M659" s="26">
        <v>1</v>
      </c>
      <c r="N659" s="27">
        <v>0.96919999999999995</v>
      </c>
      <c r="O659" s="28">
        <v>0</v>
      </c>
      <c r="P659" s="27">
        <v>0.96919999999999995</v>
      </c>
      <c r="Q659" s="54"/>
      <c r="R659" s="52"/>
      <c r="S659" s="1"/>
      <c r="T659" s="1"/>
      <c r="U659" s="1"/>
    </row>
    <row r="660" spans="1:21" ht="18" x14ac:dyDescent="0.3">
      <c r="A660" s="1"/>
      <c r="B660" s="23">
        <v>5</v>
      </c>
      <c r="C660" s="24" t="s">
        <v>336</v>
      </c>
      <c r="D660" s="25">
        <v>1</v>
      </c>
      <c r="E660" s="25">
        <v>1</v>
      </c>
      <c r="F660" s="25">
        <v>1</v>
      </c>
      <c r="G660" s="25">
        <v>1</v>
      </c>
      <c r="H660" s="25">
        <v>1</v>
      </c>
      <c r="I660" s="25">
        <v>0.99680000000000002</v>
      </c>
      <c r="J660" s="25">
        <v>1</v>
      </c>
      <c r="K660" s="25">
        <v>0.5</v>
      </c>
      <c r="L660" s="26">
        <v>0</v>
      </c>
      <c r="M660" s="26">
        <v>1</v>
      </c>
      <c r="N660" s="27">
        <v>0.93969999999999998</v>
      </c>
      <c r="O660" s="28">
        <v>0</v>
      </c>
      <c r="P660" s="27">
        <v>0.93969999999999998</v>
      </c>
      <c r="Q660" s="54"/>
      <c r="R660" s="52"/>
      <c r="S660" s="1"/>
      <c r="T660" s="1"/>
      <c r="U660" s="1"/>
    </row>
    <row r="661" spans="1:21" ht="18" x14ac:dyDescent="0.3">
      <c r="A661" s="1"/>
      <c r="B661" s="23">
        <v>6</v>
      </c>
      <c r="C661" s="24" t="s">
        <v>337</v>
      </c>
      <c r="D661" s="25">
        <v>1</v>
      </c>
      <c r="E661" s="25">
        <v>1</v>
      </c>
      <c r="F661" s="25">
        <v>1</v>
      </c>
      <c r="G661" s="25">
        <v>1</v>
      </c>
      <c r="H661" s="25">
        <v>1</v>
      </c>
      <c r="I661" s="25">
        <v>1</v>
      </c>
      <c r="J661" s="25">
        <v>1</v>
      </c>
      <c r="K661" s="25">
        <v>1</v>
      </c>
      <c r="L661" s="26">
        <v>0</v>
      </c>
      <c r="M661" s="26">
        <v>1</v>
      </c>
      <c r="N661" s="27">
        <v>0.98</v>
      </c>
      <c r="O661" s="28">
        <v>0</v>
      </c>
      <c r="P661" s="27">
        <v>0.98</v>
      </c>
      <c r="Q661" s="54"/>
      <c r="R661" s="52"/>
      <c r="S661" s="1"/>
      <c r="T661" s="1"/>
      <c r="U661" s="1"/>
    </row>
    <row r="662" spans="1:21" x14ac:dyDescent="0.3">
      <c r="A662" s="1"/>
      <c r="B662" s="59" t="s">
        <v>27</v>
      </c>
      <c r="C662" s="60"/>
      <c r="D662" s="31">
        <v>0.99</v>
      </c>
      <c r="E662" s="31">
        <v>1</v>
      </c>
      <c r="F662" s="31">
        <v>1</v>
      </c>
      <c r="G662" s="31">
        <v>0.99</v>
      </c>
      <c r="H662" s="31">
        <v>0.83</v>
      </c>
      <c r="I662" s="31">
        <v>1</v>
      </c>
      <c r="J662" s="31">
        <v>1</v>
      </c>
      <c r="K662" s="31">
        <v>0.67</v>
      </c>
      <c r="L662" s="31">
        <v>0</v>
      </c>
      <c r="M662" s="31">
        <v>0.96</v>
      </c>
      <c r="N662" s="31">
        <v>0.94</v>
      </c>
      <c r="O662" s="31">
        <v>0</v>
      </c>
      <c r="P662" s="31">
        <v>0.94</v>
      </c>
      <c r="Q662" s="54"/>
      <c r="R662" s="52"/>
      <c r="S662" s="1"/>
      <c r="T662" s="1"/>
      <c r="U662" s="1"/>
    </row>
    <row r="663" spans="1:2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52"/>
      <c r="R663" s="52"/>
      <c r="S663" s="1"/>
      <c r="T663" s="1"/>
      <c r="U663" s="1"/>
    </row>
    <row r="664" spans="1:2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52"/>
      <c r="R664" s="52"/>
      <c r="S664" s="1"/>
      <c r="T664" s="1"/>
      <c r="U664" s="1"/>
    </row>
    <row r="665" spans="1:21" ht="15.6" x14ac:dyDescent="0.3">
      <c r="A665" s="1"/>
      <c r="B665" s="3"/>
      <c r="C665" s="4" t="s">
        <v>338</v>
      </c>
      <c r="D665" s="3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5" t="s">
        <v>2</v>
      </c>
      <c r="Q665" s="54"/>
      <c r="R665" s="52"/>
      <c r="S665" s="1"/>
      <c r="T665" s="1"/>
      <c r="U665" s="1"/>
    </row>
    <row r="666" spans="1:21" ht="15.6" x14ac:dyDescent="0.3">
      <c r="A666" s="1"/>
      <c r="B666" s="3"/>
      <c r="C666" s="6">
        <v>46174</v>
      </c>
      <c r="D666" s="3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7">
        <v>0.91</v>
      </c>
      <c r="Q666" s="54"/>
      <c r="R666" s="52"/>
      <c r="S666" s="1"/>
      <c r="T666" s="1"/>
      <c r="U666" s="1"/>
    </row>
    <row r="667" spans="1:21" ht="42" x14ac:dyDescent="0.3">
      <c r="A667" s="1"/>
      <c r="B667" s="55" t="s">
        <v>3</v>
      </c>
      <c r="C667" s="55" t="s">
        <v>4</v>
      </c>
      <c r="D667" s="8" t="s">
        <v>5</v>
      </c>
      <c r="E667" s="8" t="s">
        <v>6</v>
      </c>
      <c r="F667" s="9" t="s">
        <v>7</v>
      </c>
      <c r="G667" s="9" t="s">
        <v>8</v>
      </c>
      <c r="H667" s="9" t="s">
        <v>9</v>
      </c>
      <c r="I667" s="10" t="s">
        <v>10</v>
      </c>
      <c r="J667" s="10" t="s">
        <v>11</v>
      </c>
      <c r="K667" s="11" t="s">
        <v>12</v>
      </c>
      <c r="L667" s="10" t="s">
        <v>13</v>
      </c>
      <c r="M667" s="11" t="s">
        <v>14</v>
      </c>
      <c r="N667" s="12" t="s">
        <v>15</v>
      </c>
      <c r="O667" s="57" t="s">
        <v>16</v>
      </c>
      <c r="P667" s="57" t="s">
        <v>17</v>
      </c>
      <c r="Q667" s="54"/>
      <c r="R667" s="52"/>
      <c r="S667" s="1"/>
      <c r="T667" s="1"/>
      <c r="U667" s="1"/>
    </row>
    <row r="668" spans="1:21" x14ac:dyDescent="0.3">
      <c r="A668" s="1"/>
      <c r="B668" s="56"/>
      <c r="C668" s="56"/>
      <c r="D668" s="13" t="s">
        <v>18</v>
      </c>
      <c r="E668" s="13" t="s">
        <v>18</v>
      </c>
      <c r="F668" s="13" t="s">
        <v>18</v>
      </c>
      <c r="G668" s="13" t="s">
        <v>18</v>
      </c>
      <c r="H668" s="13" t="s">
        <v>18</v>
      </c>
      <c r="I668" s="13" t="s">
        <v>18</v>
      </c>
      <c r="J668" s="13" t="s">
        <v>18</v>
      </c>
      <c r="K668" s="13" t="s">
        <v>18</v>
      </c>
      <c r="L668" s="13" t="s">
        <v>18</v>
      </c>
      <c r="M668" s="13" t="s">
        <v>18</v>
      </c>
      <c r="N668" s="14" t="s">
        <v>29</v>
      </c>
      <c r="O668" s="58"/>
      <c r="P668" s="58"/>
      <c r="Q668" s="54"/>
      <c r="R668" s="52"/>
      <c r="S668" s="1"/>
      <c r="T668" s="1"/>
      <c r="U668" s="1"/>
    </row>
    <row r="669" spans="1:21" x14ac:dyDescent="0.3">
      <c r="A669" s="1"/>
      <c r="B669" s="59" t="s">
        <v>20</v>
      </c>
      <c r="C669" s="60"/>
      <c r="D669" s="16">
        <v>0.1</v>
      </c>
      <c r="E669" s="16">
        <v>0.05</v>
      </c>
      <c r="F669" s="16">
        <v>0.1</v>
      </c>
      <c r="G669" s="16">
        <v>0.1</v>
      </c>
      <c r="H669" s="16">
        <v>0.05</v>
      </c>
      <c r="I669" s="17">
        <v>0.1</v>
      </c>
      <c r="J669" s="17">
        <v>0.35</v>
      </c>
      <c r="K669" s="17">
        <v>0.08</v>
      </c>
      <c r="L669" s="17">
        <v>0.02</v>
      </c>
      <c r="M669" s="17">
        <v>0.05</v>
      </c>
      <c r="N669" s="19">
        <v>1</v>
      </c>
      <c r="O669" s="20"/>
      <c r="P669" s="22"/>
      <c r="Q669" s="54"/>
      <c r="R669" s="52"/>
      <c r="S669" s="1"/>
      <c r="T669" s="1"/>
      <c r="U669" s="1"/>
    </row>
    <row r="670" spans="1:21" ht="18" x14ac:dyDescent="0.3">
      <c r="A670" s="1"/>
      <c r="B670" s="23">
        <v>1</v>
      </c>
      <c r="C670" s="24" t="s">
        <v>339</v>
      </c>
      <c r="D670" s="25">
        <v>1</v>
      </c>
      <c r="E670" s="25">
        <v>1</v>
      </c>
      <c r="F670" s="25">
        <v>1</v>
      </c>
      <c r="G670" s="25">
        <v>1</v>
      </c>
      <c r="H670" s="25">
        <v>1</v>
      </c>
      <c r="I670" s="25">
        <v>0.99250000000000005</v>
      </c>
      <c r="J670" s="25">
        <v>0.8</v>
      </c>
      <c r="K670" s="25">
        <v>0.5</v>
      </c>
      <c r="L670" s="26">
        <v>0</v>
      </c>
      <c r="M670" s="26">
        <v>1</v>
      </c>
      <c r="N670" s="27">
        <v>0.86929999999999996</v>
      </c>
      <c r="O670" s="28">
        <v>0</v>
      </c>
      <c r="P670" s="27">
        <v>0.86929999999999996</v>
      </c>
      <c r="Q670" s="54"/>
      <c r="R670" s="52"/>
      <c r="S670" s="1"/>
      <c r="T670" s="1"/>
      <c r="U670" s="1"/>
    </row>
    <row r="671" spans="1:21" ht="18" x14ac:dyDescent="0.3">
      <c r="A671" s="1"/>
      <c r="B671" s="23">
        <v>2</v>
      </c>
      <c r="C671" s="24" t="s">
        <v>340</v>
      </c>
      <c r="D671" s="25">
        <v>1</v>
      </c>
      <c r="E671" s="25">
        <v>1</v>
      </c>
      <c r="F671" s="25">
        <v>1</v>
      </c>
      <c r="G671" s="25">
        <v>1</v>
      </c>
      <c r="H671" s="25">
        <v>1</v>
      </c>
      <c r="I671" s="25">
        <v>1</v>
      </c>
      <c r="J671" s="25">
        <v>1</v>
      </c>
      <c r="K671" s="25">
        <v>1</v>
      </c>
      <c r="L671" s="26">
        <v>0</v>
      </c>
      <c r="M671" s="26">
        <v>1</v>
      </c>
      <c r="N671" s="27">
        <v>0.98</v>
      </c>
      <c r="O671" s="28">
        <v>0</v>
      </c>
      <c r="P671" s="27">
        <v>0.98</v>
      </c>
      <c r="Q671" s="54"/>
      <c r="R671" s="52"/>
      <c r="S671" s="1"/>
      <c r="T671" s="1"/>
      <c r="U671" s="1"/>
    </row>
    <row r="672" spans="1:21" ht="18" x14ac:dyDescent="0.3">
      <c r="A672" s="1"/>
      <c r="B672" s="23">
        <v>3</v>
      </c>
      <c r="C672" s="24" t="s">
        <v>341</v>
      </c>
      <c r="D672" s="25">
        <v>1</v>
      </c>
      <c r="E672" s="25">
        <v>0.99</v>
      </c>
      <c r="F672" s="25">
        <v>1</v>
      </c>
      <c r="G672" s="25">
        <v>1</v>
      </c>
      <c r="H672" s="25">
        <v>1</v>
      </c>
      <c r="I672" s="25">
        <v>0.99829999999999997</v>
      </c>
      <c r="J672" s="25">
        <v>1</v>
      </c>
      <c r="K672" s="25">
        <v>1</v>
      </c>
      <c r="L672" s="26">
        <v>0</v>
      </c>
      <c r="M672" s="26">
        <v>1</v>
      </c>
      <c r="N672" s="27">
        <v>0.97929999999999995</v>
      </c>
      <c r="O672" s="28">
        <v>0</v>
      </c>
      <c r="P672" s="27">
        <v>0.97929999999999995</v>
      </c>
      <c r="Q672" s="54"/>
      <c r="R672" s="52"/>
      <c r="S672" s="1"/>
      <c r="T672" s="1"/>
      <c r="U672" s="1"/>
    </row>
    <row r="673" spans="1:21" ht="18" x14ac:dyDescent="0.3">
      <c r="A673" s="1"/>
      <c r="B673" s="23">
        <v>4</v>
      </c>
      <c r="C673" s="24" t="s">
        <v>342</v>
      </c>
      <c r="D673" s="25">
        <v>1</v>
      </c>
      <c r="E673" s="25">
        <v>1</v>
      </c>
      <c r="F673" s="25">
        <v>1</v>
      </c>
      <c r="G673" s="25">
        <v>0.89380000000000004</v>
      </c>
      <c r="H673" s="25">
        <v>1</v>
      </c>
      <c r="I673" s="25">
        <v>0.99399999999999999</v>
      </c>
      <c r="J673" s="25">
        <v>0.8</v>
      </c>
      <c r="K673" s="25">
        <v>0</v>
      </c>
      <c r="L673" s="26">
        <v>0</v>
      </c>
      <c r="M673" s="26">
        <v>1</v>
      </c>
      <c r="N673" s="27">
        <v>0.81879999999999997</v>
      </c>
      <c r="O673" s="28">
        <v>0</v>
      </c>
      <c r="P673" s="27">
        <v>0.81879999999999997</v>
      </c>
      <c r="Q673" s="54"/>
      <c r="R673" s="52"/>
      <c r="S673" s="1"/>
      <c r="T673" s="1"/>
      <c r="U673" s="1"/>
    </row>
    <row r="674" spans="1:21" ht="18" x14ac:dyDescent="0.3">
      <c r="A674" s="1"/>
      <c r="B674" s="23">
        <v>5</v>
      </c>
      <c r="C674" s="24" t="s">
        <v>343</v>
      </c>
      <c r="D674" s="25">
        <v>1</v>
      </c>
      <c r="E674" s="25">
        <v>1</v>
      </c>
      <c r="F674" s="25">
        <v>1</v>
      </c>
      <c r="G674" s="25">
        <v>0.94550000000000001</v>
      </c>
      <c r="H674" s="25">
        <v>1</v>
      </c>
      <c r="I674" s="25">
        <v>0.9819</v>
      </c>
      <c r="J674" s="25">
        <v>0.8</v>
      </c>
      <c r="K674" s="25">
        <v>1</v>
      </c>
      <c r="L674" s="26">
        <v>0</v>
      </c>
      <c r="M674" s="26">
        <v>0.5</v>
      </c>
      <c r="N674" s="27">
        <v>0.87770000000000004</v>
      </c>
      <c r="O674" s="28">
        <v>0</v>
      </c>
      <c r="P674" s="27">
        <v>0.87770000000000004</v>
      </c>
      <c r="Q674" s="54"/>
      <c r="R674" s="52"/>
      <c r="S674" s="1"/>
      <c r="T674" s="1"/>
      <c r="U674" s="1"/>
    </row>
    <row r="675" spans="1:21" x14ac:dyDescent="0.3">
      <c r="A675" s="1"/>
      <c r="B675" s="59" t="s">
        <v>27</v>
      </c>
      <c r="C675" s="60"/>
      <c r="D675" s="31">
        <v>1</v>
      </c>
      <c r="E675" s="31">
        <v>1</v>
      </c>
      <c r="F675" s="31">
        <v>1</v>
      </c>
      <c r="G675" s="31">
        <v>0.97</v>
      </c>
      <c r="H675" s="31">
        <v>1</v>
      </c>
      <c r="I675" s="31">
        <v>0.99</v>
      </c>
      <c r="J675" s="31">
        <v>0.88</v>
      </c>
      <c r="K675" s="31">
        <v>0.7</v>
      </c>
      <c r="L675" s="31">
        <v>0</v>
      </c>
      <c r="M675" s="31">
        <v>0.9</v>
      </c>
      <c r="N675" s="31">
        <v>0.91</v>
      </c>
      <c r="O675" s="31">
        <v>0</v>
      </c>
      <c r="P675" s="31">
        <v>0.91</v>
      </c>
      <c r="Q675" s="54"/>
      <c r="R675" s="52"/>
      <c r="S675" s="1"/>
      <c r="T675" s="1"/>
      <c r="U675" s="1"/>
    </row>
    <row r="676" spans="1:2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52"/>
      <c r="R676" s="52"/>
      <c r="S676" s="1"/>
      <c r="T676" s="1"/>
      <c r="U676" s="1"/>
    </row>
    <row r="677" spans="1:2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52"/>
      <c r="R677" s="52"/>
      <c r="S677" s="1"/>
      <c r="T677" s="1"/>
      <c r="U677" s="1"/>
    </row>
    <row r="678" spans="1:21" ht="15.6" x14ac:dyDescent="0.3">
      <c r="A678" s="1"/>
      <c r="B678" s="3"/>
      <c r="C678" s="4" t="s">
        <v>344</v>
      </c>
      <c r="D678" s="3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5" t="s">
        <v>2</v>
      </c>
      <c r="Q678" s="54"/>
      <c r="R678" s="52"/>
      <c r="S678" s="1"/>
      <c r="T678" s="1"/>
      <c r="U678" s="1"/>
    </row>
    <row r="679" spans="1:21" ht="15.6" x14ac:dyDescent="0.3">
      <c r="A679" s="1"/>
      <c r="B679" s="3"/>
      <c r="C679" s="6">
        <v>46174</v>
      </c>
      <c r="D679" s="3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7">
        <v>0.94</v>
      </c>
      <c r="Q679" s="54"/>
      <c r="R679" s="52"/>
      <c r="S679" s="1"/>
      <c r="T679" s="1"/>
      <c r="U679" s="1"/>
    </row>
    <row r="680" spans="1:21" ht="42" x14ac:dyDescent="0.3">
      <c r="A680" s="1"/>
      <c r="B680" s="55" t="s">
        <v>3</v>
      </c>
      <c r="C680" s="55" t="s">
        <v>4</v>
      </c>
      <c r="D680" s="8" t="s">
        <v>5</v>
      </c>
      <c r="E680" s="8" t="s">
        <v>6</v>
      </c>
      <c r="F680" s="9" t="s">
        <v>7</v>
      </c>
      <c r="G680" s="9" t="s">
        <v>8</v>
      </c>
      <c r="H680" s="9" t="s">
        <v>9</v>
      </c>
      <c r="I680" s="10" t="s">
        <v>10</v>
      </c>
      <c r="J680" s="10" t="s">
        <v>11</v>
      </c>
      <c r="K680" s="11" t="s">
        <v>12</v>
      </c>
      <c r="L680" s="10" t="s">
        <v>13</v>
      </c>
      <c r="M680" s="11" t="s">
        <v>14</v>
      </c>
      <c r="N680" s="12" t="s">
        <v>15</v>
      </c>
      <c r="O680" s="57" t="s">
        <v>16</v>
      </c>
      <c r="P680" s="57" t="s">
        <v>17</v>
      </c>
      <c r="Q680" s="54"/>
      <c r="R680" s="52"/>
      <c r="S680" s="1"/>
      <c r="T680" s="1"/>
      <c r="U680" s="1"/>
    </row>
    <row r="681" spans="1:21" x14ac:dyDescent="0.3">
      <c r="A681" s="1"/>
      <c r="B681" s="56"/>
      <c r="C681" s="56"/>
      <c r="D681" s="13" t="s">
        <v>18</v>
      </c>
      <c r="E681" s="13" t="s">
        <v>18</v>
      </c>
      <c r="F681" s="13" t="s">
        <v>18</v>
      </c>
      <c r="G681" s="13" t="s">
        <v>18</v>
      </c>
      <c r="H681" s="13" t="s">
        <v>18</v>
      </c>
      <c r="I681" s="13" t="s">
        <v>18</v>
      </c>
      <c r="J681" s="13" t="s">
        <v>18</v>
      </c>
      <c r="K681" s="13" t="s">
        <v>18</v>
      </c>
      <c r="L681" s="13" t="s">
        <v>18</v>
      </c>
      <c r="M681" s="13" t="s">
        <v>18</v>
      </c>
      <c r="N681" s="14" t="s">
        <v>29</v>
      </c>
      <c r="O681" s="58"/>
      <c r="P681" s="58"/>
      <c r="Q681" s="54"/>
      <c r="R681" s="52"/>
      <c r="S681" s="1"/>
      <c r="T681" s="1"/>
      <c r="U681" s="1"/>
    </row>
    <row r="682" spans="1:21" x14ac:dyDescent="0.3">
      <c r="A682" s="1"/>
      <c r="B682" s="59" t="s">
        <v>20</v>
      </c>
      <c r="C682" s="60"/>
      <c r="D682" s="16">
        <v>0.1</v>
      </c>
      <c r="E682" s="16">
        <v>0.05</v>
      </c>
      <c r="F682" s="16">
        <v>0.1</v>
      </c>
      <c r="G682" s="16">
        <v>0.1</v>
      </c>
      <c r="H682" s="16">
        <v>0.05</v>
      </c>
      <c r="I682" s="17">
        <v>0.1</v>
      </c>
      <c r="J682" s="17">
        <v>0.35</v>
      </c>
      <c r="K682" s="17">
        <v>0.08</v>
      </c>
      <c r="L682" s="17">
        <v>0.02</v>
      </c>
      <c r="M682" s="17">
        <v>0.05</v>
      </c>
      <c r="N682" s="19">
        <v>1</v>
      </c>
      <c r="O682" s="20"/>
      <c r="P682" s="22"/>
      <c r="Q682" s="54"/>
      <c r="R682" s="52"/>
      <c r="S682" s="1"/>
      <c r="T682" s="1"/>
      <c r="U682" s="1"/>
    </row>
    <row r="683" spans="1:21" ht="18" x14ac:dyDescent="0.3">
      <c r="A683" s="1"/>
      <c r="B683" s="23">
        <v>1</v>
      </c>
      <c r="C683" s="24" t="s">
        <v>345</v>
      </c>
      <c r="D683" s="25">
        <v>0.98</v>
      </c>
      <c r="E683" s="25">
        <v>1</v>
      </c>
      <c r="F683" s="25">
        <v>1</v>
      </c>
      <c r="G683" s="25">
        <v>0.98550000000000004</v>
      </c>
      <c r="H683" s="25">
        <v>1</v>
      </c>
      <c r="I683" s="25">
        <v>0.99629999999999996</v>
      </c>
      <c r="J683" s="25">
        <v>0.8</v>
      </c>
      <c r="K683" s="25">
        <v>1</v>
      </c>
      <c r="L683" s="26">
        <v>0</v>
      </c>
      <c r="M683" s="26">
        <v>1</v>
      </c>
      <c r="N683" s="27">
        <v>0.90620000000000001</v>
      </c>
      <c r="O683" s="28">
        <v>0</v>
      </c>
      <c r="P683" s="27">
        <v>0.90620000000000001</v>
      </c>
      <c r="Q683" s="54"/>
      <c r="R683" s="52"/>
      <c r="S683" s="1"/>
      <c r="T683" s="1"/>
      <c r="U683" s="1"/>
    </row>
    <row r="684" spans="1:21" ht="18" x14ac:dyDescent="0.3">
      <c r="A684" s="1"/>
      <c r="B684" s="23">
        <v>2</v>
      </c>
      <c r="C684" s="24" t="s">
        <v>346</v>
      </c>
      <c r="D684" s="25">
        <v>1</v>
      </c>
      <c r="E684" s="25">
        <v>0.99</v>
      </c>
      <c r="F684" s="25">
        <v>1</v>
      </c>
      <c r="G684" s="25">
        <v>1</v>
      </c>
      <c r="H684" s="25">
        <v>1</v>
      </c>
      <c r="I684" s="25">
        <v>1</v>
      </c>
      <c r="J684" s="25">
        <v>1</v>
      </c>
      <c r="K684" s="25">
        <v>0.5</v>
      </c>
      <c r="L684" s="26">
        <v>0</v>
      </c>
      <c r="M684" s="26">
        <v>0.75</v>
      </c>
      <c r="N684" s="27">
        <v>0.92700000000000005</v>
      </c>
      <c r="O684" s="28">
        <v>0</v>
      </c>
      <c r="P684" s="27">
        <v>0.92700000000000005</v>
      </c>
      <c r="Q684" s="54"/>
      <c r="R684" s="52"/>
      <c r="S684" s="1"/>
      <c r="T684" s="1"/>
      <c r="U684" s="1"/>
    </row>
    <row r="685" spans="1:21" ht="18" x14ac:dyDescent="0.3">
      <c r="A685" s="1"/>
      <c r="B685" s="23">
        <v>3</v>
      </c>
      <c r="C685" s="24" t="s">
        <v>347</v>
      </c>
      <c r="D685" s="25">
        <v>1</v>
      </c>
      <c r="E685" s="25">
        <v>1</v>
      </c>
      <c r="F685" s="25">
        <v>1</v>
      </c>
      <c r="G685" s="25">
        <v>1</v>
      </c>
      <c r="H685" s="25">
        <v>1</v>
      </c>
      <c r="I685" s="25">
        <v>1</v>
      </c>
      <c r="J685" s="25">
        <v>1</v>
      </c>
      <c r="K685" s="25">
        <v>1</v>
      </c>
      <c r="L685" s="26">
        <v>0</v>
      </c>
      <c r="M685" s="26">
        <v>1</v>
      </c>
      <c r="N685" s="27">
        <v>0.98</v>
      </c>
      <c r="O685" s="28">
        <v>0</v>
      </c>
      <c r="P685" s="27">
        <v>0.98</v>
      </c>
      <c r="Q685" s="54"/>
      <c r="R685" s="52"/>
      <c r="S685" s="1"/>
      <c r="T685" s="1"/>
      <c r="U685" s="1"/>
    </row>
    <row r="686" spans="1:21" ht="18" x14ac:dyDescent="0.3">
      <c r="A686" s="1"/>
      <c r="B686" s="23">
        <v>4</v>
      </c>
      <c r="C686" s="24" t="s">
        <v>348</v>
      </c>
      <c r="D686" s="25">
        <v>1</v>
      </c>
      <c r="E686" s="25">
        <v>1</v>
      </c>
      <c r="F686" s="25">
        <v>1</v>
      </c>
      <c r="G686" s="25">
        <v>1</v>
      </c>
      <c r="H686" s="25">
        <v>1</v>
      </c>
      <c r="I686" s="25">
        <v>0.99590000000000001</v>
      </c>
      <c r="J686" s="25">
        <v>1</v>
      </c>
      <c r="K686" s="25">
        <v>1</v>
      </c>
      <c r="L686" s="26">
        <v>0</v>
      </c>
      <c r="M686" s="26">
        <v>1</v>
      </c>
      <c r="N686" s="27">
        <v>0.97960000000000003</v>
      </c>
      <c r="O686" s="28">
        <v>0</v>
      </c>
      <c r="P686" s="27">
        <v>0.97960000000000003</v>
      </c>
      <c r="Q686" s="54"/>
      <c r="R686" s="52"/>
      <c r="S686" s="1"/>
      <c r="T686" s="1"/>
      <c r="U686" s="1"/>
    </row>
    <row r="687" spans="1:21" ht="18" x14ac:dyDescent="0.3">
      <c r="A687" s="1"/>
      <c r="B687" s="23">
        <v>5</v>
      </c>
      <c r="C687" s="24" t="s">
        <v>349</v>
      </c>
      <c r="D687" s="25">
        <v>0.98</v>
      </c>
      <c r="E687" s="25">
        <v>1</v>
      </c>
      <c r="F687" s="25">
        <v>1</v>
      </c>
      <c r="G687" s="25">
        <v>1</v>
      </c>
      <c r="H687" s="25">
        <v>1</v>
      </c>
      <c r="I687" s="25">
        <v>0.99790000000000001</v>
      </c>
      <c r="J687" s="25">
        <v>0.8</v>
      </c>
      <c r="K687" s="25">
        <v>1</v>
      </c>
      <c r="L687" s="26">
        <v>0</v>
      </c>
      <c r="M687" s="26">
        <v>0.5</v>
      </c>
      <c r="N687" s="27">
        <v>0.88280000000000003</v>
      </c>
      <c r="O687" s="28">
        <v>0</v>
      </c>
      <c r="P687" s="27">
        <v>0.88280000000000003</v>
      </c>
      <c r="Q687" s="54"/>
      <c r="R687" s="52"/>
      <c r="S687" s="1"/>
      <c r="T687" s="1"/>
      <c r="U687" s="1"/>
    </row>
    <row r="688" spans="1:21" x14ac:dyDescent="0.3">
      <c r="A688" s="1"/>
      <c r="B688" s="59" t="s">
        <v>27</v>
      </c>
      <c r="C688" s="60"/>
      <c r="D688" s="31">
        <v>0.99</v>
      </c>
      <c r="E688" s="31">
        <v>1</v>
      </c>
      <c r="F688" s="31">
        <v>1</v>
      </c>
      <c r="G688" s="31">
        <v>1</v>
      </c>
      <c r="H688" s="31">
        <v>1</v>
      </c>
      <c r="I688" s="31">
        <v>1</v>
      </c>
      <c r="J688" s="31">
        <v>0.92</v>
      </c>
      <c r="K688" s="31">
        <v>0.9</v>
      </c>
      <c r="L688" s="31">
        <v>0</v>
      </c>
      <c r="M688" s="31">
        <v>0.85</v>
      </c>
      <c r="N688" s="31">
        <v>0.94</v>
      </c>
      <c r="O688" s="31">
        <v>0</v>
      </c>
      <c r="P688" s="31">
        <v>0.94</v>
      </c>
      <c r="Q688" s="54"/>
      <c r="R688" s="52"/>
      <c r="S688" s="1"/>
      <c r="T688" s="1"/>
      <c r="U688" s="1"/>
    </row>
    <row r="689" spans="1:2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52"/>
      <c r="R689" s="52"/>
      <c r="S689" s="1"/>
      <c r="T689" s="1"/>
      <c r="U689" s="1"/>
    </row>
    <row r="690" spans="1:2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52"/>
      <c r="R690" s="52"/>
      <c r="S690" s="1"/>
      <c r="T690" s="1"/>
      <c r="U690" s="1"/>
    </row>
    <row r="691" spans="1:21" ht="15.6" x14ac:dyDescent="0.3">
      <c r="A691" s="1"/>
      <c r="B691" s="3"/>
      <c r="C691" s="4" t="s">
        <v>350</v>
      </c>
      <c r="D691" s="3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5" t="s">
        <v>2</v>
      </c>
      <c r="Q691" s="54"/>
      <c r="R691" s="52"/>
      <c r="S691" s="1"/>
      <c r="T691" s="1"/>
      <c r="U691" s="1"/>
    </row>
    <row r="692" spans="1:21" ht="15.6" x14ac:dyDescent="0.3">
      <c r="A692" s="1"/>
      <c r="B692" s="3"/>
      <c r="C692" s="6">
        <v>46174</v>
      </c>
      <c r="D692" s="3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7">
        <v>0.94</v>
      </c>
      <c r="Q692" s="54"/>
      <c r="R692" s="52"/>
      <c r="S692" s="1"/>
      <c r="T692" s="1"/>
      <c r="U692" s="1"/>
    </row>
    <row r="693" spans="1:21" ht="42" x14ac:dyDescent="0.3">
      <c r="A693" s="1"/>
      <c r="B693" s="55" t="s">
        <v>3</v>
      </c>
      <c r="C693" s="55" t="s">
        <v>4</v>
      </c>
      <c r="D693" s="8" t="s">
        <v>5</v>
      </c>
      <c r="E693" s="8" t="s">
        <v>6</v>
      </c>
      <c r="F693" s="9" t="s">
        <v>7</v>
      </c>
      <c r="G693" s="9" t="s">
        <v>8</v>
      </c>
      <c r="H693" s="9" t="s">
        <v>9</v>
      </c>
      <c r="I693" s="10" t="s">
        <v>10</v>
      </c>
      <c r="J693" s="10" t="s">
        <v>11</v>
      </c>
      <c r="K693" s="11" t="s">
        <v>12</v>
      </c>
      <c r="L693" s="10" t="s">
        <v>13</v>
      </c>
      <c r="M693" s="11" t="s">
        <v>14</v>
      </c>
      <c r="N693" s="12" t="s">
        <v>15</v>
      </c>
      <c r="O693" s="57" t="s">
        <v>16</v>
      </c>
      <c r="P693" s="57" t="s">
        <v>17</v>
      </c>
      <c r="Q693" s="54"/>
      <c r="R693" s="52"/>
      <c r="S693" s="1"/>
      <c r="T693" s="1"/>
      <c r="U693" s="1"/>
    </row>
    <row r="694" spans="1:21" x14ac:dyDescent="0.3">
      <c r="A694" s="1"/>
      <c r="B694" s="56"/>
      <c r="C694" s="56"/>
      <c r="D694" s="13" t="s">
        <v>18</v>
      </c>
      <c r="E694" s="13" t="s">
        <v>18</v>
      </c>
      <c r="F694" s="13" t="s">
        <v>18</v>
      </c>
      <c r="G694" s="13" t="s">
        <v>18</v>
      </c>
      <c r="H694" s="13" t="s">
        <v>18</v>
      </c>
      <c r="I694" s="13" t="s">
        <v>18</v>
      </c>
      <c r="J694" s="13" t="s">
        <v>18</v>
      </c>
      <c r="K694" s="13" t="s">
        <v>18</v>
      </c>
      <c r="L694" s="13" t="s">
        <v>18</v>
      </c>
      <c r="M694" s="13" t="s">
        <v>18</v>
      </c>
      <c r="N694" s="14" t="s">
        <v>29</v>
      </c>
      <c r="O694" s="58"/>
      <c r="P694" s="58"/>
      <c r="Q694" s="54"/>
      <c r="R694" s="52"/>
      <c r="S694" s="1"/>
      <c r="T694" s="1"/>
      <c r="U694" s="1"/>
    </row>
    <row r="695" spans="1:21" x14ac:dyDescent="0.3">
      <c r="A695" s="1"/>
      <c r="B695" s="59" t="s">
        <v>20</v>
      </c>
      <c r="C695" s="60"/>
      <c r="D695" s="16">
        <v>0.1</v>
      </c>
      <c r="E695" s="16">
        <v>0.05</v>
      </c>
      <c r="F695" s="16">
        <v>0.1</v>
      </c>
      <c r="G695" s="16">
        <v>0.1</v>
      </c>
      <c r="H695" s="16">
        <v>0.05</v>
      </c>
      <c r="I695" s="17">
        <v>0.1</v>
      </c>
      <c r="J695" s="17">
        <v>0.35</v>
      </c>
      <c r="K695" s="17">
        <v>0.08</v>
      </c>
      <c r="L695" s="17">
        <v>0.02</v>
      </c>
      <c r="M695" s="17">
        <v>0.05</v>
      </c>
      <c r="N695" s="19">
        <v>1</v>
      </c>
      <c r="O695" s="20"/>
      <c r="P695" s="22"/>
      <c r="Q695" s="54"/>
      <c r="R695" s="52"/>
      <c r="S695" s="1"/>
      <c r="T695" s="1"/>
      <c r="U695" s="1"/>
    </row>
    <row r="696" spans="1:21" ht="18" x14ac:dyDescent="0.3">
      <c r="A696" s="1"/>
      <c r="B696" s="23">
        <v>1</v>
      </c>
      <c r="C696" s="24" t="s">
        <v>351</v>
      </c>
      <c r="D696" s="25">
        <v>0.96</v>
      </c>
      <c r="E696" s="25">
        <v>0.98</v>
      </c>
      <c r="F696" s="25">
        <v>0.97529999999999994</v>
      </c>
      <c r="G696" s="25">
        <v>1</v>
      </c>
      <c r="H696" s="25">
        <v>1</v>
      </c>
      <c r="I696" s="25">
        <v>0.99639999999999995</v>
      </c>
      <c r="J696" s="25">
        <v>1</v>
      </c>
      <c r="K696" s="25">
        <v>1</v>
      </c>
      <c r="L696" s="26">
        <v>0</v>
      </c>
      <c r="M696" s="26">
        <v>1</v>
      </c>
      <c r="N696" s="27">
        <v>0.97219999999999995</v>
      </c>
      <c r="O696" s="28">
        <v>0</v>
      </c>
      <c r="P696" s="27">
        <v>0.97219999999999995</v>
      </c>
      <c r="Q696" s="54"/>
      <c r="R696" s="52"/>
      <c r="S696" s="1"/>
      <c r="T696" s="1"/>
      <c r="U696" s="1"/>
    </row>
    <row r="697" spans="1:21" ht="18" x14ac:dyDescent="0.3">
      <c r="A697" s="1"/>
      <c r="B697" s="23">
        <v>2</v>
      </c>
      <c r="C697" s="24" t="s">
        <v>352</v>
      </c>
      <c r="D697" s="25">
        <v>1</v>
      </c>
      <c r="E697" s="25">
        <v>1</v>
      </c>
      <c r="F697" s="25">
        <v>1</v>
      </c>
      <c r="G697" s="25">
        <v>1</v>
      </c>
      <c r="H697" s="25">
        <v>1</v>
      </c>
      <c r="I697" s="25">
        <v>1</v>
      </c>
      <c r="J697" s="25">
        <v>1</v>
      </c>
      <c r="K697" s="25">
        <v>1</v>
      </c>
      <c r="L697" s="26">
        <v>0</v>
      </c>
      <c r="M697" s="26">
        <v>1</v>
      </c>
      <c r="N697" s="27">
        <v>0.98</v>
      </c>
      <c r="O697" s="28">
        <v>0</v>
      </c>
      <c r="P697" s="27">
        <v>0.98</v>
      </c>
      <c r="Q697" s="54"/>
      <c r="R697" s="52"/>
      <c r="S697" s="1"/>
      <c r="T697" s="1"/>
      <c r="U697" s="1"/>
    </row>
    <row r="698" spans="1:21" ht="18" x14ac:dyDescent="0.3">
      <c r="A698" s="1"/>
      <c r="B698" s="23">
        <v>3</v>
      </c>
      <c r="C698" s="24" t="s">
        <v>353</v>
      </c>
      <c r="D698" s="25">
        <v>1</v>
      </c>
      <c r="E698" s="25">
        <v>1</v>
      </c>
      <c r="F698" s="25">
        <v>1</v>
      </c>
      <c r="G698" s="25">
        <v>1</v>
      </c>
      <c r="H698" s="25">
        <v>1</v>
      </c>
      <c r="I698" s="25">
        <v>0.99590000000000001</v>
      </c>
      <c r="J698" s="25">
        <v>0.8</v>
      </c>
      <c r="K698" s="25">
        <v>1</v>
      </c>
      <c r="L698" s="26">
        <v>0</v>
      </c>
      <c r="M698" s="26">
        <v>1</v>
      </c>
      <c r="N698" s="27">
        <v>0.90959999999999996</v>
      </c>
      <c r="O698" s="28">
        <v>0</v>
      </c>
      <c r="P698" s="27">
        <v>0.90959999999999996</v>
      </c>
      <c r="Q698" s="54"/>
      <c r="R698" s="52"/>
      <c r="S698" s="1"/>
      <c r="T698" s="1"/>
      <c r="U698" s="1"/>
    </row>
    <row r="699" spans="1:21" ht="18" x14ac:dyDescent="0.3">
      <c r="A699" s="1"/>
      <c r="B699" s="23">
        <v>4</v>
      </c>
      <c r="C699" s="24" t="s">
        <v>354</v>
      </c>
      <c r="D699" s="25">
        <v>1</v>
      </c>
      <c r="E699" s="25">
        <v>1</v>
      </c>
      <c r="F699" s="25">
        <v>1</v>
      </c>
      <c r="G699" s="25">
        <v>1</v>
      </c>
      <c r="H699" s="25">
        <v>1</v>
      </c>
      <c r="I699" s="25">
        <v>0.99380000000000002</v>
      </c>
      <c r="J699" s="25">
        <v>1</v>
      </c>
      <c r="K699" s="25">
        <v>1</v>
      </c>
      <c r="L699" s="26">
        <v>0</v>
      </c>
      <c r="M699" s="26">
        <v>1</v>
      </c>
      <c r="N699" s="27">
        <v>0.97940000000000005</v>
      </c>
      <c r="O699" s="28">
        <v>0</v>
      </c>
      <c r="P699" s="27">
        <v>0.97940000000000005</v>
      </c>
      <c r="Q699" s="54"/>
      <c r="R699" s="52"/>
      <c r="S699" s="1"/>
      <c r="T699" s="1"/>
      <c r="U699" s="1"/>
    </row>
    <row r="700" spans="1:21" ht="18" x14ac:dyDescent="0.3">
      <c r="A700" s="1"/>
      <c r="B700" s="23">
        <v>5</v>
      </c>
      <c r="C700" s="24" t="s">
        <v>355</v>
      </c>
      <c r="D700" s="25">
        <v>0.98</v>
      </c>
      <c r="E700" s="25">
        <v>1</v>
      </c>
      <c r="F700" s="25">
        <v>1</v>
      </c>
      <c r="G700" s="25">
        <v>1</v>
      </c>
      <c r="H700" s="25">
        <v>1</v>
      </c>
      <c r="I700" s="25">
        <v>1</v>
      </c>
      <c r="J700" s="25">
        <v>1</v>
      </c>
      <c r="K700" s="25">
        <v>0</v>
      </c>
      <c r="L700" s="26">
        <v>0</v>
      </c>
      <c r="M700" s="26">
        <v>0.5</v>
      </c>
      <c r="N700" s="27">
        <v>0.873</v>
      </c>
      <c r="O700" s="28">
        <v>0</v>
      </c>
      <c r="P700" s="27">
        <v>0.873</v>
      </c>
      <c r="Q700" s="54"/>
      <c r="R700" s="52"/>
      <c r="S700" s="1"/>
      <c r="T700" s="1"/>
      <c r="U700" s="1"/>
    </row>
    <row r="701" spans="1:21" x14ac:dyDescent="0.3">
      <c r="A701" s="1"/>
      <c r="B701" s="59" t="s">
        <v>27</v>
      </c>
      <c r="C701" s="60"/>
      <c r="D701" s="31">
        <v>0.99</v>
      </c>
      <c r="E701" s="31">
        <v>1</v>
      </c>
      <c r="F701" s="43" t="e">
        <v>#REF!</v>
      </c>
      <c r="G701" s="31">
        <v>1</v>
      </c>
      <c r="H701" s="31">
        <v>1</v>
      </c>
      <c r="I701" s="31">
        <v>1</v>
      </c>
      <c r="J701" s="31">
        <v>0.96</v>
      </c>
      <c r="K701" s="31">
        <v>0.8</v>
      </c>
      <c r="L701" s="31">
        <v>0</v>
      </c>
      <c r="M701" s="31">
        <v>0.9</v>
      </c>
      <c r="N701" s="31">
        <v>0.94</v>
      </c>
      <c r="O701" s="31">
        <v>0</v>
      </c>
      <c r="P701" s="31">
        <v>0.94</v>
      </c>
      <c r="Q701" s="54"/>
      <c r="R701" s="52"/>
      <c r="S701" s="1"/>
      <c r="T701" s="1"/>
      <c r="U701" s="1"/>
    </row>
    <row r="702" spans="1:2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52"/>
      <c r="R702" s="52"/>
      <c r="S702" s="1"/>
      <c r="T702" s="1"/>
      <c r="U702" s="1"/>
    </row>
    <row r="703" spans="1:2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52"/>
      <c r="R703" s="52"/>
      <c r="S703" s="1"/>
      <c r="T703" s="1"/>
      <c r="U703" s="1"/>
    </row>
    <row r="704" spans="1:21" ht="15.6" x14ac:dyDescent="0.3">
      <c r="A704" s="1"/>
      <c r="B704" s="3"/>
      <c r="C704" s="4" t="s">
        <v>356</v>
      </c>
      <c r="D704" s="3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5" t="s">
        <v>2</v>
      </c>
      <c r="Q704" s="54"/>
      <c r="R704" s="52"/>
      <c r="S704" s="1"/>
      <c r="T704" s="1"/>
      <c r="U704" s="1"/>
    </row>
    <row r="705" spans="1:21" ht="15.6" x14ac:dyDescent="0.3">
      <c r="A705" s="1"/>
      <c r="B705" s="3"/>
      <c r="C705" s="6">
        <v>46174</v>
      </c>
      <c r="D705" s="3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7">
        <v>0.93</v>
      </c>
      <c r="Q705" s="54"/>
      <c r="R705" s="52"/>
      <c r="S705" s="1"/>
      <c r="T705" s="1"/>
      <c r="U705" s="1"/>
    </row>
    <row r="706" spans="1:21" ht="42" x14ac:dyDescent="0.3">
      <c r="A706" s="1"/>
      <c r="B706" s="55" t="s">
        <v>3</v>
      </c>
      <c r="C706" s="55" t="s">
        <v>4</v>
      </c>
      <c r="D706" s="8" t="s">
        <v>5</v>
      </c>
      <c r="E706" s="8" t="s">
        <v>6</v>
      </c>
      <c r="F706" s="9" t="s">
        <v>7</v>
      </c>
      <c r="G706" s="9" t="s">
        <v>8</v>
      </c>
      <c r="H706" s="9" t="s">
        <v>9</v>
      </c>
      <c r="I706" s="10" t="s">
        <v>10</v>
      </c>
      <c r="J706" s="10" t="s">
        <v>11</v>
      </c>
      <c r="K706" s="11" t="s">
        <v>12</v>
      </c>
      <c r="L706" s="10" t="s">
        <v>13</v>
      </c>
      <c r="M706" s="11" t="s">
        <v>14</v>
      </c>
      <c r="N706" s="12" t="s">
        <v>15</v>
      </c>
      <c r="O706" s="57" t="s">
        <v>16</v>
      </c>
      <c r="P706" s="57" t="s">
        <v>17</v>
      </c>
      <c r="Q706" s="54"/>
      <c r="R706" s="52"/>
      <c r="S706" s="1"/>
      <c r="T706" s="1"/>
      <c r="U706" s="1"/>
    </row>
    <row r="707" spans="1:21" x14ac:dyDescent="0.3">
      <c r="A707" s="1"/>
      <c r="B707" s="56"/>
      <c r="C707" s="56"/>
      <c r="D707" s="13" t="s">
        <v>18</v>
      </c>
      <c r="E707" s="13" t="s">
        <v>18</v>
      </c>
      <c r="F707" s="13" t="s">
        <v>18</v>
      </c>
      <c r="G707" s="13" t="s">
        <v>18</v>
      </c>
      <c r="H707" s="13" t="s">
        <v>18</v>
      </c>
      <c r="I707" s="13" t="s">
        <v>18</v>
      </c>
      <c r="J707" s="13" t="s">
        <v>18</v>
      </c>
      <c r="K707" s="13" t="s">
        <v>18</v>
      </c>
      <c r="L707" s="13" t="s">
        <v>18</v>
      </c>
      <c r="M707" s="13" t="s">
        <v>18</v>
      </c>
      <c r="N707" s="14" t="s">
        <v>29</v>
      </c>
      <c r="O707" s="58"/>
      <c r="P707" s="58"/>
      <c r="Q707" s="54"/>
      <c r="R707" s="52"/>
      <c r="S707" s="1"/>
      <c r="T707" s="1"/>
      <c r="U707" s="1"/>
    </row>
    <row r="708" spans="1:21" x14ac:dyDescent="0.3">
      <c r="A708" s="1"/>
      <c r="B708" s="59" t="s">
        <v>20</v>
      </c>
      <c r="C708" s="60"/>
      <c r="D708" s="16">
        <v>0.1</v>
      </c>
      <c r="E708" s="16">
        <v>0.05</v>
      </c>
      <c r="F708" s="16">
        <v>0.1</v>
      </c>
      <c r="G708" s="16">
        <v>0.1</v>
      </c>
      <c r="H708" s="16">
        <v>0.05</v>
      </c>
      <c r="I708" s="17">
        <v>0.1</v>
      </c>
      <c r="J708" s="17">
        <v>0.35</v>
      </c>
      <c r="K708" s="17">
        <v>0.08</v>
      </c>
      <c r="L708" s="17">
        <v>0.02</v>
      </c>
      <c r="M708" s="17">
        <v>0.05</v>
      </c>
      <c r="N708" s="19">
        <v>1</v>
      </c>
      <c r="O708" s="20"/>
      <c r="P708" s="22"/>
      <c r="Q708" s="54"/>
      <c r="R708" s="52"/>
      <c r="S708" s="1"/>
      <c r="T708" s="1"/>
      <c r="U708" s="1"/>
    </row>
    <row r="709" spans="1:21" ht="18" x14ac:dyDescent="0.3">
      <c r="A709" s="1"/>
      <c r="B709" s="23">
        <v>1</v>
      </c>
      <c r="C709" s="24" t="s">
        <v>357</v>
      </c>
      <c r="D709" s="25">
        <v>1</v>
      </c>
      <c r="E709" s="25">
        <v>1</v>
      </c>
      <c r="F709" s="25">
        <v>1</v>
      </c>
      <c r="G709" s="25">
        <v>1</v>
      </c>
      <c r="H709" s="25">
        <v>1</v>
      </c>
      <c r="I709" s="25">
        <v>1</v>
      </c>
      <c r="J709" s="25">
        <v>1</v>
      </c>
      <c r="K709" s="25">
        <v>1</v>
      </c>
      <c r="L709" s="26">
        <v>0</v>
      </c>
      <c r="M709" s="26">
        <v>0.75</v>
      </c>
      <c r="N709" s="27">
        <v>0.96750000000000003</v>
      </c>
      <c r="O709" s="28">
        <v>0</v>
      </c>
      <c r="P709" s="27">
        <v>0.96750000000000003</v>
      </c>
      <c r="Q709" s="54"/>
      <c r="R709" s="52"/>
      <c r="S709" s="1"/>
      <c r="T709" s="1"/>
      <c r="U709" s="1"/>
    </row>
    <row r="710" spans="1:21" ht="18" x14ac:dyDescent="0.3">
      <c r="A710" s="1"/>
      <c r="B710" s="23">
        <v>2</v>
      </c>
      <c r="C710" s="24" t="s">
        <v>358</v>
      </c>
      <c r="D710" s="25">
        <v>0.96</v>
      </c>
      <c r="E710" s="25">
        <v>1</v>
      </c>
      <c r="F710" s="25">
        <v>1</v>
      </c>
      <c r="G710" s="25">
        <v>1</v>
      </c>
      <c r="H710" s="25">
        <v>1</v>
      </c>
      <c r="I710" s="25">
        <v>0.99770000000000003</v>
      </c>
      <c r="J710" s="25">
        <v>1</v>
      </c>
      <c r="K710" s="25">
        <v>1</v>
      </c>
      <c r="L710" s="26">
        <v>0</v>
      </c>
      <c r="M710" s="26">
        <v>1</v>
      </c>
      <c r="N710" s="27">
        <v>0.9758</v>
      </c>
      <c r="O710" s="28">
        <v>0</v>
      </c>
      <c r="P710" s="27">
        <v>0.9758</v>
      </c>
      <c r="Q710" s="54"/>
      <c r="R710" s="52"/>
      <c r="S710" s="1"/>
      <c r="T710" s="1"/>
      <c r="U710" s="1"/>
    </row>
    <row r="711" spans="1:21" ht="18" x14ac:dyDescent="0.3">
      <c r="A711" s="1"/>
      <c r="B711" s="23">
        <v>3</v>
      </c>
      <c r="C711" s="24" t="s">
        <v>359</v>
      </c>
      <c r="D711" s="25">
        <v>1</v>
      </c>
      <c r="E711" s="25">
        <v>1</v>
      </c>
      <c r="F711" s="25">
        <v>1</v>
      </c>
      <c r="G711" s="25">
        <v>1</v>
      </c>
      <c r="H711" s="25">
        <v>1</v>
      </c>
      <c r="I711" s="25">
        <v>1</v>
      </c>
      <c r="J711" s="25">
        <v>1</v>
      </c>
      <c r="K711" s="25">
        <v>1</v>
      </c>
      <c r="L711" s="26">
        <v>1</v>
      </c>
      <c r="M711" s="26">
        <v>1</v>
      </c>
      <c r="N711" s="27">
        <v>1</v>
      </c>
      <c r="O711" s="28">
        <v>0</v>
      </c>
      <c r="P711" s="27">
        <v>1</v>
      </c>
      <c r="Q711" s="54"/>
      <c r="R711" s="52"/>
      <c r="S711" s="1"/>
      <c r="T711" s="1"/>
      <c r="U711" s="1"/>
    </row>
    <row r="712" spans="1:21" ht="18" x14ac:dyDescent="0.3">
      <c r="A712" s="1"/>
      <c r="B712" s="23">
        <v>4</v>
      </c>
      <c r="C712" s="24" t="s">
        <v>360</v>
      </c>
      <c r="D712" s="25">
        <v>0.98</v>
      </c>
      <c r="E712" s="25">
        <v>0.99</v>
      </c>
      <c r="F712" s="25">
        <v>1</v>
      </c>
      <c r="G712" s="25">
        <v>1</v>
      </c>
      <c r="H712" s="25">
        <v>1</v>
      </c>
      <c r="I712" s="25">
        <v>0.99790000000000001</v>
      </c>
      <c r="J712" s="25">
        <v>0.5</v>
      </c>
      <c r="K712" s="25">
        <v>1</v>
      </c>
      <c r="L712" s="26">
        <v>0</v>
      </c>
      <c r="M712" s="26">
        <v>0.5</v>
      </c>
      <c r="N712" s="27">
        <v>0.77729999999999999</v>
      </c>
      <c r="O712" s="28">
        <v>0</v>
      </c>
      <c r="P712" s="27">
        <v>0.77729999999999999</v>
      </c>
      <c r="Q712" s="54"/>
      <c r="R712" s="52"/>
      <c r="S712" s="1"/>
      <c r="T712" s="1"/>
      <c r="U712" s="1"/>
    </row>
    <row r="713" spans="1:21" ht="18" x14ac:dyDescent="0.3">
      <c r="A713" s="1"/>
      <c r="B713" s="23">
        <v>5</v>
      </c>
      <c r="C713" s="24" t="s">
        <v>361</v>
      </c>
      <c r="D713" s="25">
        <v>1</v>
      </c>
      <c r="E713" s="25">
        <v>1</v>
      </c>
      <c r="F713" s="25">
        <v>1</v>
      </c>
      <c r="G713" s="25">
        <v>0.98129999999999995</v>
      </c>
      <c r="H713" s="25">
        <v>1</v>
      </c>
      <c r="I713" s="25">
        <v>0.98229999999999995</v>
      </c>
      <c r="J713" s="25">
        <v>0.8</v>
      </c>
      <c r="K713" s="25">
        <v>1</v>
      </c>
      <c r="L713" s="26">
        <v>1</v>
      </c>
      <c r="M713" s="26">
        <v>1</v>
      </c>
      <c r="N713" s="27">
        <v>0.9264</v>
      </c>
      <c r="O713" s="28">
        <v>0</v>
      </c>
      <c r="P713" s="27">
        <v>0.9264</v>
      </c>
      <c r="Q713" s="54"/>
      <c r="R713" s="52"/>
      <c r="S713" s="1"/>
      <c r="T713" s="1"/>
      <c r="U713" s="1"/>
    </row>
    <row r="714" spans="1:21" x14ac:dyDescent="0.3">
      <c r="A714" s="1"/>
      <c r="B714" s="59" t="s">
        <v>27</v>
      </c>
      <c r="C714" s="60"/>
      <c r="D714" s="31">
        <v>0.99</v>
      </c>
      <c r="E714" s="31">
        <v>1</v>
      </c>
      <c r="F714" s="31">
        <v>1</v>
      </c>
      <c r="G714" s="31">
        <v>1</v>
      </c>
      <c r="H714" s="31">
        <v>1</v>
      </c>
      <c r="I714" s="31">
        <v>1</v>
      </c>
      <c r="J714" s="31">
        <v>0.86</v>
      </c>
      <c r="K714" s="31">
        <v>1</v>
      </c>
      <c r="L714" s="31">
        <v>0.4</v>
      </c>
      <c r="M714" s="31">
        <v>0.85</v>
      </c>
      <c r="N714" s="31">
        <v>0.93</v>
      </c>
      <c r="O714" s="31">
        <v>0</v>
      </c>
      <c r="P714" s="31">
        <v>0.93</v>
      </c>
      <c r="Q714" s="54"/>
      <c r="R714" s="52"/>
      <c r="S714" s="1"/>
      <c r="T714" s="1"/>
      <c r="U714" s="1"/>
    </row>
    <row r="715" spans="1:2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52"/>
      <c r="R715" s="52"/>
      <c r="S715" s="1"/>
      <c r="T715" s="1"/>
      <c r="U715" s="1"/>
    </row>
    <row r="716" spans="1:2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52"/>
      <c r="R716" s="52"/>
      <c r="S716" s="1"/>
      <c r="T716" s="1"/>
      <c r="U716" s="1"/>
    </row>
    <row r="717" spans="1:21" ht="15.6" x14ac:dyDescent="0.3">
      <c r="A717" s="1"/>
      <c r="B717" s="3"/>
      <c r="C717" s="4" t="s">
        <v>362</v>
      </c>
      <c r="D717" s="3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5" t="s">
        <v>2</v>
      </c>
      <c r="Q717" s="54"/>
      <c r="R717" s="52"/>
      <c r="S717" s="1"/>
      <c r="T717" s="1"/>
      <c r="U717" s="1"/>
    </row>
    <row r="718" spans="1:21" ht="15.6" x14ac:dyDescent="0.3">
      <c r="A718" s="1"/>
      <c r="B718" s="3"/>
      <c r="C718" s="6">
        <v>46174</v>
      </c>
      <c r="D718" s="3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7">
        <v>0.91</v>
      </c>
      <c r="Q718" s="54"/>
      <c r="R718" s="52"/>
      <c r="S718" s="63"/>
      <c r="T718" s="63"/>
      <c r="U718" s="1"/>
    </row>
    <row r="719" spans="1:21" ht="42" x14ac:dyDescent="0.3">
      <c r="A719" s="1"/>
      <c r="B719" s="55" t="s">
        <v>3</v>
      </c>
      <c r="C719" s="55" t="s">
        <v>4</v>
      </c>
      <c r="D719" s="8" t="s">
        <v>5</v>
      </c>
      <c r="E719" s="8" t="s">
        <v>6</v>
      </c>
      <c r="F719" s="9" t="s">
        <v>7</v>
      </c>
      <c r="G719" s="9" t="s">
        <v>8</v>
      </c>
      <c r="H719" s="9" t="s">
        <v>9</v>
      </c>
      <c r="I719" s="10" t="s">
        <v>10</v>
      </c>
      <c r="J719" s="10" t="s">
        <v>11</v>
      </c>
      <c r="K719" s="11" t="s">
        <v>12</v>
      </c>
      <c r="L719" s="10" t="s">
        <v>13</v>
      </c>
      <c r="M719" s="11" t="s">
        <v>14</v>
      </c>
      <c r="N719" s="12" t="s">
        <v>15</v>
      </c>
      <c r="O719" s="57" t="s">
        <v>16</v>
      </c>
      <c r="P719" s="57" t="s">
        <v>17</v>
      </c>
      <c r="Q719" s="54"/>
      <c r="R719" s="52"/>
      <c r="S719" s="63"/>
      <c r="T719" s="63"/>
      <c r="U719" s="1"/>
    </row>
    <row r="720" spans="1:21" x14ac:dyDescent="0.3">
      <c r="A720" s="1"/>
      <c r="B720" s="56"/>
      <c r="C720" s="56"/>
      <c r="D720" s="13" t="s">
        <v>18</v>
      </c>
      <c r="E720" s="13" t="s">
        <v>18</v>
      </c>
      <c r="F720" s="13" t="s">
        <v>18</v>
      </c>
      <c r="G720" s="13" t="s">
        <v>18</v>
      </c>
      <c r="H720" s="13" t="s">
        <v>18</v>
      </c>
      <c r="I720" s="13" t="s">
        <v>18</v>
      </c>
      <c r="J720" s="13" t="s">
        <v>18</v>
      </c>
      <c r="K720" s="13" t="s">
        <v>18</v>
      </c>
      <c r="L720" s="13" t="s">
        <v>18</v>
      </c>
      <c r="M720" s="13" t="s">
        <v>18</v>
      </c>
      <c r="N720" s="14" t="s">
        <v>29</v>
      </c>
      <c r="O720" s="58"/>
      <c r="P720" s="58"/>
      <c r="Q720" s="54"/>
      <c r="R720" s="52"/>
      <c r="S720" s="44"/>
      <c r="T720" s="44"/>
      <c r="U720" s="1"/>
    </row>
    <row r="721" spans="1:21" x14ac:dyDescent="0.3">
      <c r="A721" s="1"/>
      <c r="B721" s="59" t="s">
        <v>20</v>
      </c>
      <c r="C721" s="60"/>
      <c r="D721" s="16">
        <v>0.1</v>
      </c>
      <c r="E721" s="16">
        <v>0.05</v>
      </c>
      <c r="F721" s="16">
        <v>0.1</v>
      </c>
      <c r="G721" s="16">
        <v>0.1</v>
      </c>
      <c r="H721" s="16">
        <v>0.05</v>
      </c>
      <c r="I721" s="17">
        <v>0.1</v>
      </c>
      <c r="J721" s="17">
        <v>0.35</v>
      </c>
      <c r="K721" s="17">
        <v>0.08</v>
      </c>
      <c r="L721" s="17">
        <v>0.02</v>
      </c>
      <c r="M721" s="17">
        <v>0.05</v>
      </c>
      <c r="N721" s="19">
        <v>1</v>
      </c>
      <c r="O721" s="20"/>
      <c r="P721" s="22"/>
      <c r="Q721" s="54"/>
      <c r="R721" s="52"/>
      <c r="S721" s="44"/>
      <c r="T721" s="44"/>
      <c r="U721" s="1"/>
    </row>
    <row r="722" spans="1:21" ht="18" x14ac:dyDescent="0.3">
      <c r="A722" s="1"/>
      <c r="B722" s="23">
        <v>1</v>
      </c>
      <c r="C722" s="24" t="s">
        <v>363</v>
      </c>
      <c r="D722" s="25">
        <v>1</v>
      </c>
      <c r="E722" s="25">
        <v>1</v>
      </c>
      <c r="F722" s="25">
        <v>1</v>
      </c>
      <c r="G722" s="25">
        <v>1</v>
      </c>
      <c r="H722" s="25">
        <v>1</v>
      </c>
      <c r="I722" s="25">
        <v>1</v>
      </c>
      <c r="J722" s="25">
        <v>1</v>
      </c>
      <c r="K722" s="25">
        <v>1</v>
      </c>
      <c r="L722" s="26">
        <v>1</v>
      </c>
      <c r="M722" s="26">
        <v>1</v>
      </c>
      <c r="N722" s="27">
        <v>1</v>
      </c>
      <c r="O722" s="28">
        <v>0</v>
      </c>
      <c r="P722" s="27">
        <v>1</v>
      </c>
      <c r="Q722" s="54"/>
      <c r="R722" s="52"/>
      <c r="S722" s="44"/>
      <c r="T722" s="44"/>
      <c r="U722" s="1"/>
    </row>
    <row r="723" spans="1:21" ht="18" x14ac:dyDescent="0.3">
      <c r="A723" s="1"/>
      <c r="B723" s="23">
        <v>2</v>
      </c>
      <c r="C723" s="24" t="s">
        <v>364</v>
      </c>
      <c r="D723" s="25">
        <v>0.98</v>
      </c>
      <c r="E723" s="25">
        <v>1</v>
      </c>
      <c r="F723" s="25">
        <v>1</v>
      </c>
      <c r="G723" s="25">
        <v>1</v>
      </c>
      <c r="H723" s="25">
        <v>1</v>
      </c>
      <c r="I723" s="25">
        <v>0.99239999999999995</v>
      </c>
      <c r="J723" s="25">
        <v>0.8</v>
      </c>
      <c r="K723" s="25">
        <v>1</v>
      </c>
      <c r="L723" s="26">
        <v>0</v>
      </c>
      <c r="M723" s="26">
        <v>1</v>
      </c>
      <c r="N723" s="27">
        <v>0.90720000000000001</v>
      </c>
      <c r="O723" s="28">
        <v>0</v>
      </c>
      <c r="P723" s="27">
        <v>0.90720000000000001</v>
      </c>
      <c r="Q723" s="54"/>
      <c r="R723" s="52"/>
      <c r="S723" s="44"/>
      <c r="T723" s="44"/>
      <c r="U723" s="1"/>
    </row>
    <row r="724" spans="1:21" ht="18" x14ac:dyDescent="0.3">
      <c r="A724" s="1"/>
      <c r="B724" s="23">
        <v>3</v>
      </c>
      <c r="C724" s="24" t="s">
        <v>365</v>
      </c>
      <c r="D724" s="25">
        <v>1</v>
      </c>
      <c r="E724" s="25">
        <v>1</v>
      </c>
      <c r="F724" s="25">
        <v>1</v>
      </c>
      <c r="G724" s="25">
        <v>1</v>
      </c>
      <c r="H724" s="25">
        <v>1</v>
      </c>
      <c r="I724" s="25">
        <v>0.99790000000000001</v>
      </c>
      <c r="J724" s="25">
        <v>1</v>
      </c>
      <c r="K724" s="25">
        <v>1</v>
      </c>
      <c r="L724" s="26">
        <v>0</v>
      </c>
      <c r="M724" s="26">
        <v>0.75</v>
      </c>
      <c r="N724" s="27">
        <v>0.96730000000000005</v>
      </c>
      <c r="O724" s="28">
        <v>0</v>
      </c>
      <c r="P724" s="27">
        <v>0.96730000000000005</v>
      </c>
      <c r="Q724" s="54"/>
      <c r="R724" s="52"/>
      <c r="S724" s="44"/>
      <c r="T724" s="44"/>
      <c r="U724" s="1"/>
    </row>
    <row r="725" spans="1:21" ht="18" x14ac:dyDescent="0.3">
      <c r="A725" s="1"/>
      <c r="B725" s="23">
        <v>4</v>
      </c>
      <c r="C725" s="24" t="s">
        <v>366</v>
      </c>
      <c r="D725" s="25">
        <v>1</v>
      </c>
      <c r="E725" s="25">
        <v>1</v>
      </c>
      <c r="F725" s="25">
        <v>1</v>
      </c>
      <c r="G725" s="25">
        <v>1</v>
      </c>
      <c r="H725" s="25">
        <v>1</v>
      </c>
      <c r="I725" s="25">
        <v>0.98260000000000003</v>
      </c>
      <c r="J725" s="25">
        <v>0.8</v>
      </c>
      <c r="K725" s="25">
        <v>0.5</v>
      </c>
      <c r="L725" s="26">
        <v>0</v>
      </c>
      <c r="M725" s="26">
        <v>0.5</v>
      </c>
      <c r="N725" s="27">
        <v>0.84330000000000005</v>
      </c>
      <c r="O725" s="28">
        <v>0</v>
      </c>
      <c r="P725" s="27">
        <v>0.84330000000000005</v>
      </c>
      <c r="Q725" s="54"/>
      <c r="R725" s="52"/>
      <c r="S725" s="44"/>
      <c r="T725" s="44"/>
      <c r="U725" s="1"/>
    </row>
    <row r="726" spans="1:21" ht="18" x14ac:dyDescent="0.3">
      <c r="A726" s="1"/>
      <c r="B726" s="23">
        <v>5</v>
      </c>
      <c r="C726" s="24" t="s">
        <v>367</v>
      </c>
      <c r="D726" s="25">
        <v>1</v>
      </c>
      <c r="E726" s="25">
        <v>1</v>
      </c>
      <c r="F726" s="25">
        <v>1</v>
      </c>
      <c r="G726" s="25">
        <v>1</v>
      </c>
      <c r="H726" s="25">
        <v>1</v>
      </c>
      <c r="I726" s="25">
        <v>1</v>
      </c>
      <c r="J726" s="25">
        <v>0.8</v>
      </c>
      <c r="K726" s="25">
        <v>0.5</v>
      </c>
      <c r="L726" s="26">
        <v>0</v>
      </c>
      <c r="M726" s="26">
        <v>0.75</v>
      </c>
      <c r="N726" s="27">
        <v>0.85750000000000004</v>
      </c>
      <c r="O726" s="28">
        <v>0</v>
      </c>
      <c r="P726" s="27">
        <v>0.85750000000000004</v>
      </c>
      <c r="Q726" s="54"/>
      <c r="R726" s="52"/>
      <c r="S726" s="44"/>
      <c r="T726" s="44"/>
      <c r="U726" s="1"/>
    </row>
    <row r="727" spans="1:21" ht="18" x14ac:dyDescent="0.3">
      <c r="A727" s="1"/>
      <c r="B727" s="23">
        <v>6</v>
      </c>
      <c r="C727" s="24" t="s">
        <v>368</v>
      </c>
      <c r="D727" s="25">
        <v>0.96</v>
      </c>
      <c r="E727" s="25">
        <v>1</v>
      </c>
      <c r="F727" s="25">
        <v>1</v>
      </c>
      <c r="G727" s="25">
        <v>1</v>
      </c>
      <c r="H727" s="25">
        <v>1</v>
      </c>
      <c r="I727" s="25">
        <v>0.96279999999999999</v>
      </c>
      <c r="J727" s="25">
        <v>0.8</v>
      </c>
      <c r="K727" s="25">
        <v>1</v>
      </c>
      <c r="L727" s="26">
        <v>0</v>
      </c>
      <c r="M727" s="26">
        <v>1</v>
      </c>
      <c r="N727" s="27">
        <v>0.90229999999999999</v>
      </c>
      <c r="O727" s="28">
        <v>0</v>
      </c>
      <c r="P727" s="27">
        <v>0.90229999999999999</v>
      </c>
      <c r="Q727" s="54"/>
      <c r="R727" s="52"/>
      <c r="S727" s="44"/>
      <c r="T727" s="44"/>
      <c r="U727" s="1"/>
    </row>
    <row r="728" spans="1:21" x14ac:dyDescent="0.3">
      <c r="A728" s="1"/>
      <c r="B728" s="59" t="s">
        <v>27</v>
      </c>
      <c r="C728" s="60"/>
      <c r="D728" s="31">
        <v>0.99</v>
      </c>
      <c r="E728" s="31">
        <v>1</v>
      </c>
      <c r="F728" s="31">
        <v>1</v>
      </c>
      <c r="G728" s="31">
        <v>1</v>
      </c>
      <c r="H728" s="31">
        <v>1</v>
      </c>
      <c r="I728" s="31">
        <v>0.99</v>
      </c>
      <c r="J728" s="31">
        <v>0.87</v>
      </c>
      <c r="K728" s="31">
        <v>0.83</v>
      </c>
      <c r="L728" s="31">
        <v>0.17</v>
      </c>
      <c r="M728" s="31">
        <v>0.83</v>
      </c>
      <c r="N728" s="31">
        <v>0.91</v>
      </c>
      <c r="O728" s="31">
        <v>0</v>
      </c>
      <c r="P728" s="31">
        <v>0.91</v>
      </c>
      <c r="Q728" s="54"/>
      <c r="R728" s="52"/>
      <c r="S728" s="1"/>
      <c r="T728" s="1"/>
      <c r="U728" s="1"/>
    </row>
    <row r="729" spans="1:2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52"/>
      <c r="R729" s="52"/>
      <c r="S729" s="1"/>
      <c r="T729" s="1"/>
      <c r="U729" s="1"/>
    </row>
    <row r="730" spans="1:2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52"/>
      <c r="R730" s="52"/>
      <c r="S730" s="1"/>
      <c r="T730" s="1"/>
      <c r="U730" s="1"/>
    </row>
    <row r="731" spans="1:21" ht="15.6" x14ac:dyDescent="0.3">
      <c r="A731" s="1"/>
      <c r="B731" s="3"/>
      <c r="C731" s="4" t="s">
        <v>369</v>
      </c>
      <c r="D731" s="3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5" t="s">
        <v>2</v>
      </c>
      <c r="Q731" s="54"/>
      <c r="R731" s="52"/>
      <c r="S731" s="1"/>
      <c r="T731" s="1"/>
      <c r="U731" s="1"/>
    </row>
    <row r="732" spans="1:21" ht="15.6" x14ac:dyDescent="0.3">
      <c r="A732" s="1"/>
      <c r="B732" s="3"/>
      <c r="C732" s="6">
        <v>46174</v>
      </c>
      <c r="D732" s="3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7">
        <v>0.97</v>
      </c>
      <c r="Q732" s="54"/>
      <c r="R732" s="52"/>
      <c r="S732" s="1"/>
      <c r="T732" s="1"/>
      <c r="U732" s="1"/>
    </row>
    <row r="733" spans="1:21" ht="42" x14ac:dyDescent="0.3">
      <c r="A733" s="1"/>
      <c r="B733" s="55" t="s">
        <v>3</v>
      </c>
      <c r="C733" s="55" t="s">
        <v>4</v>
      </c>
      <c r="D733" s="8" t="s">
        <v>5</v>
      </c>
      <c r="E733" s="8" t="s">
        <v>6</v>
      </c>
      <c r="F733" s="9" t="s">
        <v>7</v>
      </c>
      <c r="G733" s="9" t="s">
        <v>8</v>
      </c>
      <c r="H733" s="9" t="s">
        <v>9</v>
      </c>
      <c r="I733" s="10" t="s">
        <v>10</v>
      </c>
      <c r="J733" s="10" t="s">
        <v>11</v>
      </c>
      <c r="K733" s="11" t="s">
        <v>12</v>
      </c>
      <c r="L733" s="10" t="s">
        <v>13</v>
      </c>
      <c r="M733" s="11" t="s">
        <v>14</v>
      </c>
      <c r="N733" s="12" t="s">
        <v>15</v>
      </c>
      <c r="O733" s="57" t="s">
        <v>16</v>
      </c>
      <c r="P733" s="57" t="s">
        <v>17</v>
      </c>
      <c r="Q733" s="54"/>
      <c r="R733" s="52"/>
      <c r="S733" s="1"/>
      <c r="T733" s="1"/>
      <c r="U733" s="1"/>
    </row>
    <row r="734" spans="1:21" x14ac:dyDescent="0.3">
      <c r="A734" s="1"/>
      <c r="B734" s="56"/>
      <c r="C734" s="56"/>
      <c r="D734" s="13" t="s">
        <v>18</v>
      </c>
      <c r="E734" s="13" t="s">
        <v>18</v>
      </c>
      <c r="F734" s="13" t="s">
        <v>18</v>
      </c>
      <c r="G734" s="13" t="s">
        <v>18</v>
      </c>
      <c r="H734" s="13" t="s">
        <v>18</v>
      </c>
      <c r="I734" s="13" t="s">
        <v>18</v>
      </c>
      <c r="J734" s="13" t="s">
        <v>18</v>
      </c>
      <c r="K734" s="13" t="s">
        <v>18</v>
      </c>
      <c r="L734" s="13" t="s">
        <v>18</v>
      </c>
      <c r="M734" s="13" t="s">
        <v>18</v>
      </c>
      <c r="N734" s="14" t="s">
        <v>29</v>
      </c>
      <c r="O734" s="58"/>
      <c r="P734" s="58"/>
      <c r="Q734" s="54"/>
      <c r="R734" s="52"/>
      <c r="S734" s="1"/>
      <c r="T734" s="1"/>
      <c r="U734" s="1"/>
    </row>
    <row r="735" spans="1:21" x14ac:dyDescent="0.3">
      <c r="A735" s="1"/>
      <c r="B735" s="59" t="s">
        <v>20</v>
      </c>
      <c r="C735" s="60"/>
      <c r="D735" s="16">
        <v>0.1</v>
      </c>
      <c r="E735" s="16">
        <v>0.05</v>
      </c>
      <c r="F735" s="16">
        <v>0.1</v>
      </c>
      <c r="G735" s="16">
        <v>0.1</v>
      </c>
      <c r="H735" s="16">
        <v>0.05</v>
      </c>
      <c r="I735" s="17">
        <v>0.1</v>
      </c>
      <c r="J735" s="17">
        <v>0.35</v>
      </c>
      <c r="K735" s="17">
        <v>0.08</v>
      </c>
      <c r="L735" s="17">
        <v>0.02</v>
      </c>
      <c r="M735" s="17">
        <v>0.05</v>
      </c>
      <c r="N735" s="19">
        <v>1</v>
      </c>
      <c r="O735" s="20"/>
      <c r="P735" s="22"/>
      <c r="Q735" s="54"/>
      <c r="R735" s="52"/>
      <c r="S735" s="1"/>
      <c r="T735" s="1"/>
      <c r="U735" s="1"/>
    </row>
    <row r="736" spans="1:21" ht="18" x14ac:dyDescent="0.3">
      <c r="A736" s="1"/>
      <c r="B736" s="23">
        <v>1</v>
      </c>
      <c r="C736" s="24" t="s">
        <v>370</v>
      </c>
      <c r="D736" s="25">
        <v>1</v>
      </c>
      <c r="E736" s="25">
        <v>1</v>
      </c>
      <c r="F736" s="25">
        <v>1</v>
      </c>
      <c r="G736" s="25">
        <v>1</v>
      </c>
      <c r="H736" s="25">
        <v>1</v>
      </c>
      <c r="I736" s="25">
        <v>1</v>
      </c>
      <c r="J736" s="25">
        <v>1</v>
      </c>
      <c r="K736" s="25">
        <v>1</v>
      </c>
      <c r="L736" s="26">
        <v>1</v>
      </c>
      <c r="M736" s="26">
        <v>1</v>
      </c>
      <c r="N736" s="27">
        <v>1</v>
      </c>
      <c r="O736" s="28">
        <v>0</v>
      </c>
      <c r="P736" s="27">
        <v>1</v>
      </c>
      <c r="Q736" s="54"/>
      <c r="R736" s="52"/>
      <c r="S736" s="1"/>
      <c r="T736" s="1"/>
      <c r="U736" s="1"/>
    </row>
    <row r="737" spans="1:21" ht="18" x14ac:dyDescent="0.3">
      <c r="A737" s="1"/>
      <c r="B737" s="23">
        <v>2</v>
      </c>
      <c r="C737" s="24" t="s">
        <v>371</v>
      </c>
      <c r="D737" s="25">
        <v>1</v>
      </c>
      <c r="E737" s="25">
        <v>1</v>
      </c>
      <c r="F737" s="25">
        <v>1</v>
      </c>
      <c r="G737" s="25">
        <v>1</v>
      </c>
      <c r="H737" s="25">
        <v>1</v>
      </c>
      <c r="I737" s="25">
        <v>1</v>
      </c>
      <c r="J737" s="25">
        <v>1</v>
      </c>
      <c r="K737" s="25">
        <v>1</v>
      </c>
      <c r="L737" s="26">
        <v>0</v>
      </c>
      <c r="M737" s="26">
        <v>0.75</v>
      </c>
      <c r="N737" s="27">
        <v>0.96750000000000003</v>
      </c>
      <c r="O737" s="28">
        <v>0</v>
      </c>
      <c r="P737" s="27">
        <v>0.96750000000000003</v>
      </c>
      <c r="Q737" s="54"/>
      <c r="R737" s="52"/>
      <c r="S737" s="1"/>
      <c r="T737" s="1"/>
      <c r="U737" s="1"/>
    </row>
    <row r="738" spans="1:21" ht="18" x14ac:dyDescent="0.3">
      <c r="A738" s="1"/>
      <c r="B738" s="23">
        <v>3</v>
      </c>
      <c r="C738" s="24" t="s">
        <v>372</v>
      </c>
      <c r="D738" s="25">
        <v>1</v>
      </c>
      <c r="E738" s="25">
        <v>1</v>
      </c>
      <c r="F738" s="25">
        <v>1</v>
      </c>
      <c r="G738" s="25">
        <v>1</v>
      </c>
      <c r="H738" s="25">
        <v>1</v>
      </c>
      <c r="I738" s="25">
        <v>1</v>
      </c>
      <c r="J738" s="25">
        <v>1</v>
      </c>
      <c r="K738" s="25">
        <v>1</v>
      </c>
      <c r="L738" s="26">
        <v>0</v>
      </c>
      <c r="M738" s="26">
        <v>1</v>
      </c>
      <c r="N738" s="27">
        <v>0.98</v>
      </c>
      <c r="O738" s="28">
        <v>0</v>
      </c>
      <c r="P738" s="27">
        <v>0.98</v>
      </c>
      <c r="Q738" s="54"/>
      <c r="R738" s="52"/>
      <c r="S738" s="1"/>
      <c r="T738" s="1"/>
      <c r="U738" s="1"/>
    </row>
    <row r="739" spans="1:21" ht="18" x14ac:dyDescent="0.3">
      <c r="A739" s="1"/>
      <c r="B739" s="23">
        <v>4</v>
      </c>
      <c r="C739" s="24" t="s">
        <v>373</v>
      </c>
      <c r="D739" s="25">
        <v>1</v>
      </c>
      <c r="E739" s="25">
        <v>1</v>
      </c>
      <c r="F739" s="25">
        <v>1</v>
      </c>
      <c r="G739" s="25">
        <v>1</v>
      </c>
      <c r="H739" s="25">
        <v>1</v>
      </c>
      <c r="I739" s="25">
        <v>0.99309999999999998</v>
      </c>
      <c r="J739" s="25">
        <v>1</v>
      </c>
      <c r="K739" s="25">
        <v>1</v>
      </c>
      <c r="L739" s="26">
        <v>0</v>
      </c>
      <c r="M739" s="26">
        <v>1</v>
      </c>
      <c r="N739" s="27">
        <v>0.97929999999999995</v>
      </c>
      <c r="O739" s="28">
        <v>0</v>
      </c>
      <c r="P739" s="27">
        <v>0.97929999999999995</v>
      </c>
      <c r="Q739" s="54"/>
      <c r="R739" s="52"/>
      <c r="S739" s="1"/>
      <c r="T739" s="1"/>
      <c r="U739" s="1"/>
    </row>
    <row r="740" spans="1:21" ht="18" x14ac:dyDescent="0.3">
      <c r="A740" s="1"/>
      <c r="B740" s="23">
        <v>5</v>
      </c>
      <c r="C740" s="24" t="s">
        <v>374</v>
      </c>
      <c r="D740" s="25">
        <v>1</v>
      </c>
      <c r="E740" s="25">
        <v>1</v>
      </c>
      <c r="F740" s="25">
        <v>1</v>
      </c>
      <c r="G740" s="25">
        <v>1</v>
      </c>
      <c r="H740" s="25">
        <v>1</v>
      </c>
      <c r="I740" s="25">
        <v>0.97809999999999997</v>
      </c>
      <c r="J740" s="25">
        <v>0.8</v>
      </c>
      <c r="K740" s="25">
        <v>1</v>
      </c>
      <c r="L740" s="26">
        <v>0</v>
      </c>
      <c r="M740" s="26">
        <v>1</v>
      </c>
      <c r="N740" s="27">
        <v>0.90780000000000005</v>
      </c>
      <c r="O740" s="28">
        <v>0</v>
      </c>
      <c r="P740" s="27">
        <v>0.90780000000000005</v>
      </c>
      <c r="Q740" s="54"/>
      <c r="R740" s="52"/>
      <c r="S740" s="1"/>
      <c r="T740" s="1"/>
      <c r="U740" s="1"/>
    </row>
    <row r="741" spans="1:21" ht="18" x14ac:dyDescent="0.3">
      <c r="A741" s="1"/>
      <c r="B741" s="23">
        <v>6</v>
      </c>
      <c r="C741" s="24" t="s">
        <v>375</v>
      </c>
      <c r="D741" s="25">
        <v>1</v>
      </c>
      <c r="E741" s="25">
        <v>1</v>
      </c>
      <c r="F741" s="25">
        <v>1</v>
      </c>
      <c r="G741" s="25">
        <v>1</v>
      </c>
      <c r="H741" s="25">
        <v>1</v>
      </c>
      <c r="I741" s="25">
        <v>0.98650000000000004</v>
      </c>
      <c r="J741" s="25">
        <v>1</v>
      </c>
      <c r="K741" s="25">
        <v>1</v>
      </c>
      <c r="L741" s="26">
        <v>0</v>
      </c>
      <c r="M741" s="26">
        <v>1</v>
      </c>
      <c r="N741" s="27">
        <v>0.97870000000000001</v>
      </c>
      <c r="O741" s="28">
        <v>0</v>
      </c>
      <c r="P741" s="27">
        <v>0.97870000000000001</v>
      </c>
      <c r="Q741" s="54"/>
      <c r="R741" s="52"/>
      <c r="S741" s="1"/>
      <c r="T741" s="1"/>
      <c r="U741" s="1"/>
    </row>
    <row r="742" spans="1:21" x14ac:dyDescent="0.3">
      <c r="A742" s="1"/>
      <c r="B742" s="59" t="s">
        <v>27</v>
      </c>
      <c r="C742" s="60"/>
      <c r="D742" s="31">
        <v>1</v>
      </c>
      <c r="E742" s="31">
        <v>1</v>
      </c>
      <c r="F742" s="31">
        <v>1</v>
      </c>
      <c r="G742" s="31">
        <v>1</v>
      </c>
      <c r="H742" s="31">
        <v>1</v>
      </c>
      <c r="I742" s="31">
        <v>0.99</v>
      </c>
      <c r="J742" s="31">
        <v>0.97</v>
      </c>
      <c r="K742" s="31">
        <v>1</v>
      </c>
      <c r="L742" s="31">
        <v>0.17</v>
      </c>
      <c r="M742" s="31">
        <v>0.96</v>
      </c>
      <c r="N742" s="31">
        <v>0.97</v>
      </c>
      <c r="O742" s="31">
        <v>0</v>
      </c>
      <c r="P742" s="31">
        <v>0.97</v>
      </c>
      <c r="Q742" s="54"/>
      <c r="R742" s="52"/>
      <c r="S742" s="1"/>
      <c r="T742" s="1"/>
      <c r="U742" s="1"/>
    </row>
    <row r="743" spans="1:2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52"/>
      <c r="R743" s="52"/>
      <c r="S743" s="1"/>
      <c r="T743" s="1"/>
      <c r="U743" s="1"/>
    </row>
    <row r="744" spans="1:2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52"/>
      <c r="R744" s="52"/>
      <c r="S744" s="63"/>
      <c r="T744" s="63"/>
      <c r="U744" s="1"/>
    </row>
    <row r="745" spans="1:21" ht="15.6" x14ac:dyDescent="0.3">
      <c r="A745" s="1"/>
      <c r="B745" s="3"/>
      <c r="C745" s="4" t="s">
        <v>376</v>
      </c>
      <c r="D745" s="3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5" t="s">
        <v>2</v>
      </c>
      <c r="Q745" s="54"/>
      <c r="R745" s="52"/>
      <c r="S745" s="63"/>
      <c r="T745" s="63"/>
      <c r="U745" s="1"/>
    </row>
    <row r="746" spans="1:21" ht="15.6" x14ac:dyDescent="0.3">
      <c r="A746" s="1"/>
      <c r="B746" s="3"/>
      <c r="C746" s="6">
        <v>46174</v>
      </c>
      <c r="D746" s="3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7">
        <v>0.95</v>
      </c>
      <c r="Q746" s="54"/>
      <c r="R746" s="52"/>
      <c r="S746" s="44"/>
      <c r="T746" s="44"/>
      <c r="U746" s="1"/>
    </row>
    <row r="747" spans="1:21" ht="42" x14ac:dyDescent="0.3">
      <c r="A747" s="1"/>
      <c r="B747" s="55" t="s">
        <v>3</v>
      </c>
      <c r="C747" s="55" t="s">
        <v>4</v>
      </c>
      <c r="D747" s="8" t="s">
        <v>5</v>
      </c>
      <c r="E747" s="8" t="s">
        <v>6</v>
      </c>
      <c r="F747" s="9" t="s">
        <v>7</v>
      </c>
      <c r="G747" s="9" t="s">
        <v>8</v>
      </c>
      <c r="H747" s="9" t="s">
        <v>9</v>
      </c>
      <c r="I747" s="10" t="s">
        <v>10</v>
      </c>
      <c r="J747" s="10" t="s">
        <v>11</v>
      </c>
      <c r="K747" s="11" t="s">
        <v>12</v>
      </c>
      <c r="L747" s="10" t="s">
        <v>13</v>
      </c>
      <c r="M747" s="11" t="s">
        <v>14</v>
      </c>
      <c r="N747" s="12" t="s">
        <v>15</v>
      </c>
      <c r="O747" s="57" t="s">
        <v>16</v>
      </c>
      <c r="P747" s="57" t="s">
        <v>17</v>
      </c>
      <c r="Q747" s="54"/>
      <c r="R747" s="52"/>
      <c r="S747" s="44"/>
      <c r="T747" s="44"/>
      <c r="U747" s="1"/>
    </row>
    <row r="748" spans="1:21" x14ac:dyDescent="0.3">
      <c r="A748" s="1"/>
      <c r="B748" s="56"/>
      <c r="C748" s="56"/>
      <c r="D748" s="13" t="s">
        <v>18</v>
      </c>
      <c r="E748" s="13" t="s">
        <v>18</v>
      </c>
      <c r="F748" s="13" t="s">
        <v>18</v>
      </c>
      <c r="G748" s="13" t="s">
        <v>18</v>
      </c>
      <c r="H748" s="13" t="s">
        <v>18</v>
      </c>
      <c r="I748" s="13" t="s">
        <v>18</v>
      </c>
      <c r="J748" s="13" t="s">
        <v>18</v>
      </c>
      <c r="K748" s="13" t="s">
        <v>18</v>
      </c>
      <c r="L748" s="13" t="s">
        <v>18</v>
      </c>
      <c r="M748" s="13" t="s">
        <v>18</v>
      </c>
      <c r="N748" s="14" t="s">
        <v>29</v>
      </c>
      <c r="O748" s="58"/>
      <c r="P748" s="58"/>
      <c r="Q748" s="54"/>
      <c r="R748" s="52"/>
      <c r="S748" s="44"/>
      <c r="T748" s="44"/>
      <c r="U748" s="1"/>
    </row>
    <row r="749" spans="1:21" x14ac:dyDescent="0.3">
      <c r="A749" s="1"/>
      <c r="B749" s="59" t="s">
        <v>20</v>
      </c>
      <c r="C749" s="60"/>
      <c r="D749" s="16">
        <v>0.1</v>
      </c>
      <c r="E749" s="16">
        <v>0.05</v>
      </c>
      <c r="F749" s="16">
        <v>0.1</v>
      </c>
      <c r="G749" s="16">
        <v>0.1</v>
      </c>
      <c r="H749" s="16">
        <v>0.05</v>
      </c>
      <c r="I749" s="17">
        <v>0.1</v>
      </c>
      <c r="J749" s="17">
        <v>0.35</v>
      </c>
      <c r="K749" s="17">
        <v>0.08</v>
      </c>
      <c r="L749" s="17">
        <v>0.02</v>
      </c>
      <c r="M749" s="17">
        <v>0.05</v>
      </c>
      <c r="N749" s="19">
        <v>1</v>
      </c>
      <c r="O749" s="20"/>
      <c r="P749" s="22"/>
      <c r="Q749" s="54"/>
      <c r="R749" s="52"/>
      <c r="S749" s="44"/>
      <c r="T749" s="44"/>
      <c r="U749" s="1"/>
    </row>
    <row r="750" spans="1:21" ht="18" x14ac:dyDescent="0.3">
      <c r="A750" s="1"/>
      <c r="B750" s="23">
        <v>1</v>
      </c>
      <c r="C750" s="24" t="s">
        <v>377</v>
      </c>
      <c r="D750" s="25">
        <v>1</v>
      </c>
      <c r="E750" s="25">
        <v>1</v>
      </c>
      <c r="F750" s="25">
        <v>1</v>
      </c>
      <c r="G750" s="25">
        <v>0.98709999999999998</v>
      </c>
      <c r="H750" s="25">
        <v>1</v>
      </c>
      <c r="I750" s="25">
        <v>1</v>
      </c>
      <c r="J750" s="25">
        <v>1</v>
      </c>
      <c r="K750" s="25">
        <v>1</v>
      </c>
      <c r="L750" s="26">
        <v>0</v>
      </c>
      <c r="M750" s="26">
        <v>0.75</v>
      </c>
      <c r="N750" s="27">
        <v>0.96619999999999995</v>
      </c>
      <c r="O750" s="28">
        <v>0</v>
      </c>
      <c r="P750" s="27">
        <v>0.96619999999999995</v>
      </c>
      <c r="Q750" s="54"/>
      <c r="R750" s="52"/>
      <c r="S750" s="44"/>
      <c r="T750" s="44"/>
      <c r="U750" s="1"/>
    </row>
    <row r="751" spans="1:21" ht="18" x14ac:dyDescent="0.3">
      <c r="A751" s="1"/>
      <c r="B751" s="23">
        <v>3</v>
      </c>
      <c r="C751" s="24" t="s">
        <v>378</v>
      </c>
      <c r="D751" s="25">
        <v>1</v>
      </c>
      <c r="E751" s="25">
        <v>1</v>
      </c>
      <c r="F751" s="25">
        <v>1</v>
      </c>
      <c r="G751" s="25">
        <v>1</v>
      </c>
      <c r="H751" s="25">
        <v>1</v>
      </c>
      <c r="I751" s="25">
        <v>1</v>
      </c>
      <c r="J751" s="25">
        <v>1</v>
      </c>
      <c r="K751" s="25">
        <v>1</v>
      </c>
      <c r="L751" s="26">
        <v>0</v>
      </c>
      <c r="M751" s="26">
        <v>0.75</v>
      </c>
      <c r="N751" s="27">
        <v>0.96750000000000003</v>
      </c>
      <c r="O751" s="28">
        <v>0</v>
      </c>
      <c r="P751" s="27">
        <v>0.96750000000000003</v>
      </c>
      <c r="Q751" s="54"/>
      <c r="R751" s="52"/>
      <c r="S751" s="44"/>
      <c r="T751" s="44"/>
      <c r="U751" s="1"/>
    </row>
    <row r="752" spans="1:21" ht="18" x14ac:dyDescent="0.3">
      <c r="A752" s="1"/>
      <c r="B752" s="23">
        <v>4</v>
      </c>
      <c r="C752" s="24" t="s">
        <v>379</v>
      </c>
      <c r="D752" s="25">
        <v>1</v>
      </c>
      <c r="E752" s="25">
        <v>1</v>
      </c>
      <c r="F752" s="25">
        <v>1</v>
      </c>
      <c r="G752" s="25">
        <v>1</v>
      </c>
      <c r="H752" s="25">
        <v>1</v>
      </c>
      <c r="I752" s="25">
        <v>1</v>
      </c>
      <c r="J752" s="25">
        <v>1</v>
      </c>
      <c r="K752" s="25">
        <v>1</v>
      </c>
      <c r="L752" s="26">
        <v>0</v>
      </c>
      <c r="M752" s="26">
        <v>1</v>
      </c>
      <c r="N752" s="27">
        <v>0.98</v>
      </c>
      <c r="O752" s="28">
        <v>0</v>
      </c>
      <c r="P752" s="27">
        <v>0.98</v>
      </c>
      <c r="Q752" s="54"/>
      <c r="R752" s="52"/>
      <c r="S752" s="1"/>
      <c r="T752" s="1"/>
      <c r="U752" s="1"/>
    </row>
    <row r="753" spans="1:21" ht="18" x14ac:dyDescent="0.3">
      <c r="A753" s="1"/>
      <c r="B753" s="23">
        <v>5</v>
      </c>
      <c r="C753" s="24" t="s">
        <v>380</v>
      </c>
      <c r="D753" s="25">
        <v>0.98</v>
      </c>
      <c r="E753" s="25">
        <v>1</v>
      </c>
      <c r="F753" s="25">
        <v>1</v>
      </c>
      <c r="G753" s="25">
        <v>1</v>
      </c>
      <c r="H753" s="25">
        <v>1</v>
      </c>
      <c r="I753" s="25">
        <v>1</v>
      </c>
      <c r="J753" s="25">
        <v>1</v>
      </c>
      <c r="K753" s="25">
        <v>1</v>
      </c>
      <c r="L753" s="26">
        <v>0</v>
      </c>
      <c r="M753" s="26">
        <v>1</v>
      </c>
      <c r="N753" s="27">
        <v>0.97799999999999998</v>
      </c>
      <c r="O753" s="28">
        <v>0</v>
      </c>
      <c r="P753" s="27">
        <v>0.97799999999999998</v>
      </c>
      <c r="Q753" s="54"/>
      <c r="R753" s="52"/>
      <c r="S753" s="1"/>
      <c r="T753" s="1"/>
      <c r="U753" s="1"/>
    </row>
    <row r="754" spans="1:21" ht="18" x14ac:dyDescent="0.3">
      <c r="A754" s="1"/>
      <c r="B754" s="23">
        <v>6</v>
      </c>
      <c r="C754" s="24" t="s">
        <v>381</v>
      </c>
      <c r="D754" s="25">
        <v>1</v>
      </c>
      <c r="E754" s="25">
        <v>1</v>
      </c>
      <c r="F754" s="25">
        <v>1</v>
      </c>
      <c r="G754" s="25">
        <v>0.85429999999999995</v>
      </c>
      <c r="H754" s="25">
        <v>0</v>
      </c>
      <c r="I754" s="25">
        <v>1</v>
      </c>
      <c r="J754" s="25">
        <v>1</v>
      </c>
      <c r="K754" s="25">
        <v>0.5</v>
      </c>
      <c r="L754" s="26">
        <v>0</v>
      </c>
      <c r="M754" s="26">
        <v>1</v>
      </c>
      <c r="N754" s="27">
        <v>0.87539999999999996</v>
      </c>
      <c r="O754" s="28">
        <v>0</v>
      </c>
      <c r="P754" s="27">
        <v>0.87539999999999996</v>
      </c>
      <c r="Q754" s="54"/>
      <c r="R754" s="52"/>
      <c r="S754" s="1"/>
      <c r="T754" s="1"/>
      <c r="U754" s="1"/>
    </row>
    <row r="755" spans="1:21" x14ac:dyDescent="0.3">
      <c r="A755" s="1"/>
      <c r="B755" s="59" t="s">
        <v>27</v>
      </c>
      <c r="C755" s="60"/>
      <c r="D755" s="31">
        <v>1</v>
      </c>
      <c r="E755" s="31">
        <v>1</v>
      </c>
      <c r="F755" s="31">
        <v>1</v>
      </c>
      <c r="G755" s="31">
        <v>0.97</v>
      </c>
      <c r="H755" s="31">
        <v>0.8</v>
      </c>
      <c r="I755" s="31">
        <v>1</v>
      </c>
      <c r="J755" s="31">
        <v>1</v>
      </c>
      <c r="K755" s="31">
        <v>0.9</v>
      </c>
      <c r="L755" s="31">
        <v>0</v>
      </c>
      <c r="M755" s="31">
        <v>0.9</v>
      </c>
      <c r="N755" s="31">
        <v>0.95</v>
      </c>
      <c r="O755" s="31">
        <v>0</v>
      </c>
      <c r="P755" s="31">
        <v>0.95</v>
      </c>
      <c r="Q755" s="54"/>
      <c r="R755" s="52"/>
      <c r="S755" s="1"/>
      <c r="T755" s="1"/>
      <c r="U755" s="1"/>
    </row>
    <row r="756" spans="1:2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52"/>
      <c r="R756" s="52"/>
      <c r="S756" s="1"/>
      <c r="T756" s="1"/>
      <c r="U756" s="1"/>
    </row>
    <row r="757" spans="1:2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52"/>
      <c r="R757" s="52"/>
      <c r="S757" s="1"/>
      <c r="T757" s="1"/>
      <c r="U757" s="1"/>
    </row>
    <row r="758" spans="1:21" ht="15.6" x14ac:dyDescent="0.3">
      <c r="A758" s="1"/>
      <c r="B758" s="3"/>
      <c r="C758" s="4" t="s">
        <v>382</v>
      </c>
      <c r="D758" s="3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5" t="s">
        <v>2</v>
      </c>
      <c r="Q758" s="54"/>
      <c r="R758" s="52"/>
      <c r="S758" s="1"/>
      <c r="T758" s="1"/>
      <c r="U758" s="1"/>
    </row>
    <row r="759" spans="1:21" ht="15.6" x14ac:dyDescent="0.3">
      <c r="A759" s="1"/>
      <c r="B759" s="3"/>
      <c r="C759" s="6">
        <v>46174</v>
      </c>
      <c r="D759" s="3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7">
        <v>0.91</v>
      </c>
      <c r="Q759" s="54"/>
      <c r="R759" s="52"/>
      <c r="S759" s="1"/>
      <c r="T759" s="1"/>
      <c r="U759" s="1"/>
    </row>
    <row r="760" spans="1:21" ht="42" x14ac:dyDescent="0.3">
      <c r="A760" s="1"/>
      <c r="B760" s="55" t="s">
        <v>3</v>
      </c>
      <c r="C760" s="55" t="s">
        <v>4</v>
      </c>
      <c r="D760" s="8" t="s">
        <v>5</v>
      </c>
      <c r="E760" s="8" t="s">
        <v>6</v>
      </c>
      <c r="F760" s="9" t="s">
        <v>7</v>
      </c>
      <c r="G760" s="9" t="s">
        <v>8</v>
      </c>
      <c r="H760" s="9" t="s">
        <v>9</v>
      </c>
      <c r="I760" s="10" t="s">
        <v>10</v>
      </c>
      <c r="J760" s="10" t="s">
        <v>11</v>
      </c>
      <c r="K760" s="11" t="s">
        <v>12</v>
      </c>
      <c r="L760" s="10" t="s">
        <v>13</v>
      </c>
      <c r="M760" s="11" t="s">
        <v>14</v>
      </c>
      <c r="N760" s="12" t="s">
        <v>15</v>
      </c>
      <c r="O760" s="57" t="s">
        <v>16</v>
      </c>
      <c r="P760" s="57" t="s">
        <v>17</v>
      </c>
      <c r="Q760" s="54"/>
      <c r="R760" s="52"/>
      <c r="S760" s="1"/>
      <c r="T760" s="1"/>
      <c r="U760" s="1"/>
    </row>
    <row r="761" spans="1:21" x14ac:dyDescent="0.3">
      <c r="A761" s="1"/>
      <c r="B761" s="56"/>
      <c r="C761" s="56"/>
      <c r="D761" s="13" t="s">
        <v>18</v>
      </c>
      <c r="E761" s="13" t="s">
        <v>18</v>
      </c>
      <c r="F761" s="13" t="s">
        <v>18</v>
      </c>
      <c r="G761" s="13" t="s">
        <v>18</v>
      </c>
      <c r="H761" s="13" t="s">
        <v>18</v>
      </c>
      <c r="I761" s="13" t="s">
        <v>18</v>
      </c>
      <c r="J761" s="13" t="s">
        <v>18</v>
      </c>
      <c r="K761" s="13" t="s">
        <v>18</v>
      </c>
      <c r="L761" s="13" t="s">
        <v>18</v>
      </c>
      <c r="M761" s="13" t="s">
        <v>18</v>
      </c>
      <c r="N761" s="14" t="s">
        <v>29</v>
      </c>
      <c r="O761" s="58"/>
      <c r="P761" s="58"/>
      <c r="Q761" s="54"/>
      <c r="R761" s="52"/>
      <c r="S761" s="1"/>
      <c r="T761" s="1"/>
      <c r="U761" s="1"/>
    </row>
    <row r="762" spans="1:21" x14ac:dyDescent="0.3">
      <c r="A762" s="1"/>
      <c r="B762" s="59" t="s">
        <v>20</v>
      </c>
      <c r="C762" s="60"/>
      <c r="D762" s="16">
        <v>0.1</v>
      </c>
      <c r="E762" s="16">
        <v>0.05</v>
      </c>
      <c r="F762" s="16">
        <v>0.1</v>
      </c>
      <c r="G762" s="16">
        <v>0.1</v>
      </c>
      <c r="H762" s="16">
        <v>0.05</v>
      </c>
      <c r="I762" s="17">
        <v>0.1</v>
      </c>
      <c r="J762" s="17">
        <v>0.35</v>
      </c>
      <c r="K762" s="17">
        <v>0.08</v>
      </c>
      <c r="L762" s="17">
        <v>0.02</v>
      </c>
      <c r="M762" s="17">
        <v>0.05</v>
      </c>
      <c r="N762" s="19">
        <v>1</v>
      </c>
      <c r="O762" s="20"/>
      <c r="P762" s="22"/>
      <c r="Q762" s="54"/>
      <c r="R762" s="52"/>
      <c r="S762" s="1"/>
      <c r="T762" s="1"/>
      <c r="U762" s="1"/>
    </row>
    <row r="763" spans="1:21" ht="18" x14ac:dyDescent="0.3">
      <c r="A763" s="1"/>
      <c r="B763" s="23">
        <v>1</v>
      </c>
      <c r="C763" s="24" t="s">
        <v>383</v>
      </c>
      <c r="D763" s="25">
        <v>1</v>
      </c>
      <c r="E763" s="25">
        <v>0.99</v>
      </c>
      <c r="F763" s="25">
        <v>1</v>
      </c>
      <c r="G763" s="25">
        <v>1</v>
      </c>
      <c r="H763" s="25">
        <v>1</v>
      </c>
      <c r="I763" s="25">
        <v>0.99439999999999995</v>
      </c>
      <c r="J763" s="25">
        <v>1</v>
      </c>
      <c r="K763" s="25">
        <v>0.5</v>
      </c>
      <c r="L763" s="26">
        <v>0</v>
      </c>
      <c r="M763" s="26">
        <v>0.5</v>
      </c>
      <c r="N763" s="27">
        <v>0.91390000000000005</v>
      </c>
      <c r="O763" s="28">
        <v>0</v>
      </c>
      <c r="P763" s="27">
        <v>0.91390000000000005</v>
      </c>
      <c r="Q763" s="54"/>
      <c r="R763" s="52"/>
      <c r="S763" s="1"/>
      <c r="T763" s="1"/>
      <c r="U763" s="1"/>
    </row>
    <row r="764" spans="1:21" ht="18" x14ac:dyDescent="0.3">
      <c r="A764" s="1"/>
      <c r="B764" s="23">
        <v>2</v>
      </c>
      <c r="C764" s="24" t="s">
        <v>384</v>
      </c>
      <c r="D764" s="25">
        <v>1</v>
      </c>
      <c r="E764" s="25">
        <v>1</v>
      </c>
      <c r="F764" s="25">
        <v>1</v>
      </c>
      <c r="G764" s="25">
        <v>1</v>
      </c>
      <c r="H764" s="25">
        <v>1</v>
      </c>
      <c r="I764" s="25">
        <v>0.99629999999999996</v>
      </c>
      <c r="J764" s="25">
        <v>0.8</v>
      </c>
      <c r="K764" s="25">
        <v>1</v>
      </c>
      <c r="L764" s="26">
        <v>0</v>
      </c>
      <c r="M764" s="26">
        <v>1</v>
      </c>
      <c r="N764" s="27">
        <v>0.90959999999999996</v>
      </c>
      <c r="O764" s="28">
        <v>0</v>
      </c>
      <c r="P764" s="27">
        <v>0.90959999999999996</v>
      </c>
      <c r="Q764" s="54"/>
      <c r="R764" s="52"/>
      <c r="S764" s="1"/>
      <c r="T764" s="1"/>
      <c r="U764" s="1"/>
    </row>
    <row r="765" spans="1:21" ht="18" x14ac:dyDescent="0.3">
      <c r="A765" s="1"/>
      <c r="B765" s="23">
        <v>3</v>
      </c>
      <c r="C765" s="24" t="s">
        <v>385</v>
      </c>
      <c r="D765" s="25">
        <v>1</v>
      </c>
      <c r="E765" s="25">
        <v>1</v>
      </c>
      <c r="F765" s="25">
        <v>1</v>
      </c>
      <c r="G765" s="25">
        <v>1</v>
      </c>
      <c r="H765" s="25">
        <v>1</v>
      </c>
      <c r="I765" s="25">
        <v>1</v>
      </c>
      <c r="J765" s="25">
        <v>1</v>
      </c>
      <c r="K765" s="25">
        <v>1</v>
      </c>
      <c r="L765" s="26">
        <v>0</v>
      </c>
      <c r="M765" s="26">
        <v>1</v>
      </c>
      <c r="N765" s="27">
        <v>0.98</v>
      </c>
      <c r="O765" s="28">
        <v>0</v>
      </c>
      <c r="P765" s="27">
        <v>0.98</v>
      </c>
      <c r="Q765" s="54"/>
      <c r="R765" s="52"/>
      <c r="S765" s="1"/>
      <c r="T765" s="1"/>
      <c r="U765" s="1"/>
    </row>
    <row r="766" spans="1:21" ht="18" x14ac:dyDescent="0.3">
      <c r="A766" s="1"/>
      <c r="B766" s="23">
        <v>4</v>
      </c>
      <c r="C766" s="24" t="s">
        <v>386</v>
      </c>
      <c r="D766" s="25">
        <v>1</v>
      </c>
      <c r="E766" s="25">
        <v>1</v>
      </c>
      <c r="F766" s="25">
        <v>1</v>
      </c>
      <c r="G766" s="25">
        <v>0.97270000000000001</v>
      </c>
      <c r="H766" s="25">
        <v>1</v>
      </c>
      <c r="I766" s="25">
        <v>0.999</v>
      </c>
      <c r="J766" s="25">
        <v>0.5</v>
      </c>
      <c r="K766" s="25">
        <v>0.5</v>
      </c>
      <c r="L766" s="26">
        <v>0</v>
      </c>
      <c r="M766" s="26">
        <v>1</v>
      </c>
      <c r="N766" s="27">
        <v>0.76219999999999999</v>
      </c>
      <c r="O766" s="28">
        <v>0</v>
      </c>
      <c r="P766" s="27">
        <v>0.76219999999999999</v>
      </c>
      <c r="Q766" s="54"/>
      <c r="R766" s="52"/>
      <c r="S766" s="1"/>
      <c r="T766" s="1"/>
      <c r="U766" s="1"/>
    </row>
    <row r="767" spans="1:21" ht="18" x14ac:dyDescent="0.3">
      <c r="A767" s="1"/>
      <c r="B767" s="23">
        <v>5</v>
      </c>
      <c r="C767" s="24" t="s">
        <v>387</v>
      </c>
      <c r="D767" s="25">
        <v>1</v>
      </c>
      <c r="E767" s="25">
        <v>1</v>
      </c>
      <c r="F767" s="25">
        <v>1</v>
      </c>
      <c r="G767" s="25">
        <v>1</v>
      </c>
      <c r="H767" s="25">
        <v>1</v>
      </c>
      <c r="I767" s="25">
        <v>1</v>
      </c>
      <c r="J767" s="25">
        <v>0.8</v>
      </c>
      <c r="K767" s="25">
        <v>1</v>
      </c>
      <c r="L767" s="26">
        <v>0</v>
      </c>
      <c r="M767" s="26">
        <v>1</v>
      </c>
      <c r="N767" s="27">
        <v>0.91</v>
      </c>
      <c r="O767" s="28">
        <v>0</v>
      </c>
      <c r="P767" s="27">
        <v>0.91</v>
      </c>
      <c r="Q767" s="54"/>
      <c r="R767" s="52"/>
      <c r="S767" s="1"/>
      <c r="T767" s="1"/>
      <c r="U767" s="1"/>
    </row>
    <row r="768" spans="1:21" ht="18" x14ac:dyDescent="0.3">
      <c r="A768" s="1"/>
      <c r="B768" s="23">
        <v>6</v>
      </c>
      <c r="C768" s="30" t="s">
        <v>388</v>
      </c>
      <c r="D768" s="25">
        <v>1</v>
      </c>
      <c r="E768" s="25">
        <v>1</v>
      </c>
      <c r="F768" s="25">
        <v>1</v>
      </c>
      <c r="G768" s="25">
        <v>1</v>
      </c>
      <c r="H768" s="25">
        <v>1</v>
      </c>
      <c r="I768" s="25">
        <v>1</v>
      </c>
      <c r="J768" s="25">
        <v>1</v>
      </c>
      <c r="K768" s="25">
        <v>1</v>
      </c>
      <c r="L768" s="26">
        <v>0</v>
      </c>
      <c r="M768" s="26">
        <v>0</v>
      </c>
      <c r="N768" s="27">
        <v>0.97889999999999999</v>
      </c>
      <c r="O768" s="28">
        <v>0</v>
      </c>
      <c r="P768" s="27">
        <v>0.97889999999999999</v>
      </c>
      <c r="Q768" s="54"/>
      <c r="R768" s="52"/>
      <c r="S768" s="1"/>
      <c r="T768" s="1"/>
      <c r="U768" s="1"/>
    </row>
    <row r="769" spans="1:21" x14ac:dyDescent="0.3">
      <c r="A769" s="1"/>
      <c r="B769" s="59" t="s">
        <v>27</v>
      </c>
      <c r="C769" s="60"/>
      <c r="D769" s="31">
        <v>1</v>
      </c>
      <c r="E769" s="31">
        <v>1</v>
      </c>
      <c r="F769" s="31">
        <v>1</v>
      </c>
      <c r="G769" s="31">
        <v>1</v>
      </c>
      <c r="H769" s="31">
        <v>1</v>
      </c>
      <c r="I769" s="31">
        <v>1</v>
      </c>
      <c r="J769" s="31">
        <v>0.85</v>
      </c>
      <c r="K769" s="31">
        <v>0.83</v>
      </c>
      <c r="L769" s="31">
        <v>0</v>
      </c>
      <c r="M769" s="31">
        <v>0.75</v>
      </c>
      <c r="N769" s="31">
        <v>0.91</v>
      </c>
      <c r="O769" s="31">
        <v>0</v>
      </c>
      <c r="P769" s="31">
        <v>0.91</v>
      </c>
      <c r="Q769" s="54"/>
      <c r="R769" s="52"/>
      <c r="S769" s="1"/>
      <c r="T769" s="1"/>
      <c r="U769" s="1"/>
    </row>
    <row r="770" spans="1:2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52"/>
      <c r="R770" s="52"/>
      <c r="S770" s="1"/>
      <c r="T770" s="1"/>
      <c r="U770" s="1"/>
    </row>
    <row r="771" spans="1:2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52"/>
      <c r="R771" s="52"/>
      <c r="S771" s="1"/>
      <c r="T771" s="1"/>
      <c r="U771" s="1"/>
    </row>
    <row r="772" spans="1:21" ht="15.6" x14ac:dyDescent="0.3">
      <c r="A772" s="1"/>
      <c r="B772" s="3"/>
      <c r="C772" s="4" t="s">
        <v>389</v>
      </c>
      <c r="D772" s="3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5" t="s">
        <v>2</v>
      </c>
      <c r="Q772" s="54"/>
      <c r="R772" s="52"/>
      <c r="S772" s="1"/>
      <c r="T772" s="1"/>
      <c r="U772" s="1"/>
    </row>
    <row r="773" spans="1:21" ht="15.6" x14ac:dyDescent="0.3">
      <c r="A773" s="1"/>
      <c r="B773" s="3"/>
      <c r="C773" s="6">
        <v>46174</v>
      </c>
      <c r="D773" s="3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7">
        <v>0.92</v>
      </c>
      <c r="Q773" s="54"/>
      <c r="R773" s="52"/>
      <c r="S773" s="1"/>
      <c r="T773" s="1"/>
      <c r="U773" s="1"/>
    </row>
    <row r="774" spans="1:21" ht="42" x14ac:dyDescent="0.3">
      <c r="A774" s="1"/>
      <c r="B774" s="55" t="s">
        <v>3</v>
      </c>
      <c r="C774" s="55" t="s">
        <v>4</v>
      </c>
      <c r="D774" s="8" t="s">
        <v>5</v>
      </c>
      <c r="E774" s="8" t="s">
        <v>6</v>
      </c>
      <c r="F774" s="9" t="s">
        <v>7</v>
      </c>
      <c r="G774" s="9" t="s">
        <v>8</v>
      </c>
      <c r="H774" s="9" t="s">
        <v>9</v>
      </c>
      <c r="I774" s="10" t="s">
        <v>10</v>
      </c>
      <c r="J774" s="10" t="s">
        <v>11</v>
      </c>
      <c r="K774" s="11" t="s">
        <v>12</v>
      </c>
      <c r="L774" s="10" t="s">
        <v>13</v>
      </c>
      <c r="M774" s="11" t="s">
        <v>14</v>
      </c>
      <c r="N774" s="12" t="s">
        <v>15</v>
      </c>
      <c r="O774" s="57" t="s">
        <v>16</v>
      </c>
      <c r="P774" s="57" t="s">
        <v>17</v>
      </c>
      <c r="Q774" s="54"/>
      <c r="R774" s="52"/>
      <c r="S774" s="1"/>
      <c r="T774" s="1"/>
      <c r="U774" s="1"/>
    </row>
    <row r="775" spans="1:21" x14ac:dyDescent="0.3">
      <c r="A775" s="1"/>
      <c r="B775" s="56"/>
      <c r="C775" s="56"/>
      <c r="D775" s="13" t="s">
        <v>18</v>
      </c>
      <c r="E775" s="13" t="s">
        <v>18</v>
      </c>
      <c r="F775" s="13" t="s">
        <v>18</v>
      </c>
      <c r="G775" s="13" t="s">
        <v>18</v>
      </c>
      <c r="H775" s="13" t="s">
        <v>18</v>
      </c>
      <c r="I775" s="13" t="s">
        <v>18</v>
      </c>
      <c r="J775" s="13" t="s">
        <v>18</v>
      </c>
      <c r="K775" s="13" t="s">
        <v>18</v>
      </c>
      <c r="L775" s="13" t="s">
        <v>18</v>
      </c>
      <c r="M775" s="13" t="s">
        <v>18</v>
      </c>
      <c r="N775" s="14" t="s">
        <v>29</v>
      </c>
      <c r="O775" s="58"/>
      <c r="P775" s="58"/>
      <c r="Q775" s="54"/>
      <c r="R775" s="52"/>
      <c r="S775" s="1"/>
      <c r="T775" s="1"/>
      <c r="U775" s="1"/>
    </row>
    <row r="776" spans="1:21" x14ac:dyDescent="0.3">
      <c r="A776" s="1"/>
      <c r="B776" s="59" t="s">
        <v>20</v>
      </c>
      <c r="C776" s="60"/>
      <c r="D776" s="16">
        <v>0.1</v>
      </c>
      <c r="E776" s="16">
        <v>0.05</v>
      </c>
      <c r="F776" s="16">
        <v>0.1</v>
      </c>
      <c r="G776" s="16">
        <v>0.1</v>
      </c>
      <c r="H776" s="16">
        <v>0.05</v>
      </c>
      <c r="I776" s="17">
        <v>0.1</v>
      </c>
      <c r="J776" s="17">
        <v>0.35</v>
      </c>
      <c r="K776" s="17">
        <v>0.08</v>
      </c>
      <c r="L776" s="17">
        <v>0.02</v>
      </c>
      <c r="M776" s="17">
        <v>0.05</v>
      </c>
      <c r="N776" s="19">
        <v>1</v>
      </c>
      <c r="O776" s="20"/>
      <c r="P776" s="22"/>
      <c r="Q776" s="54"/>
      <c r="R776" s="52"/>
      <c r="S776" s="1"/>
      <c r="T776" s="1"/>
      <c r="U776" s="1"/>
    </row>
    <row r="777" spans="1:21" ht="18" x14ac:dyDescent="0.3">
      <c r="A777" s="1"/>
      <c r="B777" s="23">
        <v>1</v>
      </c>
      <c r="C777" s="24" t="s">
        <v>390</v>
      </c>
      <c r="D777" s="25">
        <v>1</v>
      </c>
      <c r="E777" s="25">
        <v>1</v>
      </c>
      <c r="F777" s="25">
        <v>1</v>
      </c>
      <c r="G777" s="25">
        <v>0.97770000000000001</v>
      </c>
      <c r="H777" s="25">
        <v>1</v>
      </c>
      <c r="I777" s="25">
        <v>0.99739999999999995</v>
      </c>
      <c r="J777" s="25">
        <v>1</v>
      </c>
      <c r="K777" s="25">
        <v>0.5</v>
      </c>
      <c r="L777" s="26">
        <v>1</v>
      </c>
      <c r="M777" s="26">
        <v>1</v>
      </c>
      <c r="N777" s="27">
        <v>0.95750000000000002</v>
      </c>
      <c r="O777" s="28">
        <v>0</v>
      </c>
      <c r="P777" s="27">
        <v>0.95750000000000002</v>
      </c>
      <c r="Q777" s="54"/>
      <c r="R777" s="52"/>
      <c r="S777" s="1"/>
      <c r="T777" s="1"/>
      <c r="U777" s="1"/>
    </row>
    <row r="778" spans="1:21" ht="18" x14ac:dyDescent="0.3">
      <c r="A778" s="1"/>
      <c r="B778" s="23">
        <v>2</v>
      </c>
      <c r="C778" s="24" t="s">
        <v>391</v>
      </c>
      <c r="D778" s="25">
        <v>1</v>
      </c>
      <c r="E778" s="25">
        <v>1</v>
      </c>
      <c r="F778" s="25">
        <v>1</v>
      </c>
      <c r="G778" s="25">
        <v>1</v>
      </c>
      <c r="H778" s="25">
        <v>1</v>
      </c>
      <c r="I778" s="25">
        <v>1</v>
      </c>
      <c r="J778" s="25">
        <v>1</v>
      </c>
      <c r="K778" s="25">
        <v>1</v>
      </c>
      <c r="L778" s="26">
        <v>0</v>
      </c>
      <c r="M778" s="26">
        <v>0.5</v>
      </c>
      <c r="N778" s="27">
        <v>0.95499999999999996</v>
      </c>
      <c r="O778" s="28">
        <v>0</v>
      </c>
      <c r="P778" s="27">
        <v>0.95499999999999996</v>
      </c>
      <c r="Q778" s="54"/>
      <c r="R778" s="52"/>
      <c r="S778" s="1"/>
      <c r="T778" s="1"/>
      <c r="U778" s="1"/>
    </row>
    <row r="779" spans="1:21" ht="18" x14ac:dyDescent="0.3">
      <c r="A779" s="1"/>
      <c r="B779" s="23">
        <v>3</v>
      </c>
      <c r="C779" s="24" t="s">
        <v>392</v>
      </c>
      <c r="D779" s="25">
        <v>1</v>
      </c>
      <c r="E779" s="25">
        <v>1</v>
      </c>
      <c r="F779" s="25">
        <v>1</v>
      </c>
      <c r="G779" s="25">
        <v>1</v>
      </c>
      <c r="H779" s="25">
        <v>1</v>
      </c>
      <c r="I779" s="25">
        <v>0.99139999999999995</v>
      </c>
      <c r="J779" s="25">
        <v>0.8</v>
      </c>
      <c r="K779" s="25">
        <v>1</v>
      </c>
      <c r="L779" s="26">
        <v>0</v>
      </c>
      <c r="M779" s="26">
        <v>0.75</v>
      </c>
      <c r="N779" s="27">
        <v>0.89659999999999995</v>
      </c>
      <c r="O779" s="28">
        <v>0</v>
      </c>
      <c r="P779" s="27">
        <v>0.89659999999999995</v>
      </c>
      <c r="Q779" s="54"/>
      <c r="R779" s="52"/>
      <c r="S779" s="1"/>
      <c r="T779" s="1"/>
      <c r="U779" s="1"/>
    </row>
    <row r="780" spans="1:21" ht="18" x14ac:dyDescent="0.3">
      <c r="A780" s="1"/>
      <c r="B780" s="23">
        <v>4</v>
      </c>
      <c r="C780" s="24" t="s">
        <v>393</v>
      </c>
      <c r="D780" s="25">
        <v>1</v>
      </c>
      <c r="E780" s="25">
        <v>0.98</v>
      </c>
      <c r="F780" s="25">
        <v>1</v>
      </c>
      <c r="G780" s="25">
        <v>1</v>
      </c>
      <c r="H780" s="25">
        <v>1</v>
      </c>
      <c r="I780" s="25">
        <v>1</v>
      </c>
      <c r="J780" s="25">
        <v>0.8</v>
      </c>
      <c r="K780" s="25">
        <v>0.5</v>
      </c>
      <c r="L780" s="26">
        <v>0</v>
      </c>
      <c r="M780" s="26">
        <v>1</v>
      </c>
      <c r="N780" s="27">
        <v>0.86899999999999999</v>
      </c>
      <c r="O780" s="28">
        <v>0</v>
      </c>
      <c r="P780" s="27">
        <v>0.86899999999999999</v>
      </c>
      <c r="Q780" s="54"/>
      <c r="R780" s="52"/>
      <c r="S780" s="1"/>
      <c r="T780" s="1"/>
      <c r="U780" s="1"/>
    </row>
    <row r="781" spans="1:21" ht="18" x14ac:dyDescent="0.3">
      <c r="A781" s="1"/>
      <c r="B781" s="23">
        <v>5</v>
      </c>
      <c r="C781" s="24" t="s">
        <v>394</v>
      </c>
      <c r="D781" s="25">
        <v>0.98</v>
      </c>
      <c r="E781" s="25">
        <v>1</v>
      </c>
      <c r="F781" s="25">
        <v>1</v>
      </c>
      <c r="G781" s="25">
        <v>0.88660000000000005</v>
      </c>
      <c r="H781" s="25">
        <v>1</v>
      </c>
      <c r="I781" s="25">
        <v>0.9768</v>
      </c>
      <c r="J781" s="25">
        <v>0.8</v>
      </c>
      <c r="K781" s="25">
        <v>0.5</v>
      </c>
      <c r="L781" s="26">
        <v>1</v>
      </c>
      <c r="M781" s="26">
        <v>1</v>
      </c>
      <c r="N781" s="27">
        <v>0.87429999999999997</v>
      </c>
      <c r="O781" s="28">
        <v>0</v>
      </c>
      <c r="P781" s="27">
        <v>0.87429999999999997</v>
      </c>
      <c r="Q781" s="54"/>
      <c r="R781" s="52"/>
      <c r="S781" s="1"/>
      <c r="T781" s="1"/>
      <c r="U781" s="1"/>
    </row>
    <row r="782" spans="1:21" ht="18" x14ac:dyDescent="0.3">
      <c r="A782" s="1"/>
      <c r="B782" s="23">
        <v>6</v>
      </c>
      <c r="C782" s="33" t="s">
        <v>395</v>
      </c>
      <c r="D782" s="25">
        <v>1</v>
      </c>
      <c r="E782" s="25">
        <v>1</v>
      </c>
      <c r="F782" s="25">
        <v>1</v>
      </c>
      <c r="G782" s="25">
        <v>1</v>
      </c>
      <c r="H782" s="25">
        <v>1</v>
      </c>
      <c r="I782" s="25">
        <v>0.85450000000000004</v>
      </c>
      <c r="J782" s="25">
        <v>1</v>
      </c>
      <c r="K782" s="25">
        <v>1</v>
      </c>
      <c r="L782" s="26">
        <v>0</v>
      </c>
      <c r="M782" s="26">
        <v>0</v>
      </c>
      <c r="N782" s="27">
        <v>0.96360000000000001</v>
      </c>
      <c r="O782" s="28">
        <v>0</v>
      </c>
      <c r="P782" s="27">
        <v>0.96360000000000001</v>
      </c>
      <c r="Q782" s="54"/>
      <c r="R782" s="52"/>
      <c r="S782" s="1"/>
      <c r="T782" s="1"/>
      <c r="U782" s="1"/>
    </row>
    <row r="783" spans="1:21" x14ac:dyDescent="0.3">
      <c r="A783" s="1"/>
      <c r="B783" s="59" t="s">
        <v>27</v>
      </c>
      <c r="C783" s="60"/>
      <c r="D783" s="31">
        <v>1</v>
      </c>
      <c r="E783" s="31">
        <v>1</v>
      </c>
      <c r="F783" s="31">
        <v>1</v>
      </c>
      <c r="G783" s="31">
        <v>0.98</v>
      </c>
      <c r="H783" s="31">
        <v>1</v>
      </c>
      <c r="I783" s="31">
        <v>0.97</v>
      </c>
      <c r="J783" s="31">
        <v>0.9</v>
      </c>
      <c r="K783" s="31">
        <v>0.75</v>
      </c>
      <c r="L783" s="31">
        <v>0.33</v>
      </c>
      <c r="M783" s="31">
        <v>0.71</v>
      </c>
      <c r="N783" s="31">
        <v>0.92</v>
      </c>
      <c r="O783" s="31">
        <v>0</v>
      </c>
      <c r="P783" s="31">
        <v>0.92</v>
      </c>
      <c r="Q783" s="54"/>
      <c r="R783" s="52"/>
      <c r="S783" s="1"/>
      <c r="T783" s="1"/>
      <c r="U783" s="1"/>
    </row>
    <row r="784" spans="1:2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52"/>
      <c r="R784" s="52"/>
      <c r="S784" s="1"/>
      <c r="T784" s="1"/>
      <c r="U784" s="1"/>
    </row>
    <row r="785" spans="1:21" ht="15.6" x14ac:dyDescent="0.3">
      <c r="A785" s="1"/>
      <c r="B785" s="3"/>
      <c r="C785" s="4" t="s">
        <v>396</v>
      </c>
      <c r="D785" s="3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5" t="s">
        <v>2</v>
      </c>
      <c r="Q785" s="54"/>
      <c r="R785" s="52"/>
      <c r="S785" s="1"/>
      <c r="T785" s="1"/>
      <c r="U785" s="1"/>
    </row>
    <row r="786" spans="1:21" ht="15.6" x14ac:dyDescent="0.3">
      <c r="A786" s="1"/>
      <c r="B786" s="3"/>
      <c r="C786" s="6">
        <v>46174</v>
      </c>
      <c r="D786" s="3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7">
        <v>0.92</v>
      </c>
      <c r="Q786" s="54"/>
      <c r="R786" s="52"/>
      <c r="S786" s="1"/>
      <c r="T786" s="1"/>
      <c r="U786" s="1"/>
    </row>
    <row r="787" spans="1:21" ht="42" x14ac:dyDescent="0.3">
      <c r="A787" s="1"/>
      <c r="B787" s="55" t="s">
        <v>3</v>
      </c>
      <c r="C787" s="55" t="s">
        <v>4</v>
      </c>
      <c r="D787" s="8" t="s">
        <v>5</v>
      </c>
      <c r="E787" s="8" t="s">
        <v>6</v>
      </c>
      <c r="F787" s="9" t="s">
        <v>7</v>
      </c>
      <c r="G787" s="9" t="s">
        <v>8</v>
      </c>
      <c r="H787" s="9" t="s">
        <v>9</v>
      </c>
      <c r="I787" s="10" t="s">
        <v>10</v>
      </c>
      <c r="J787" s="10" t="s">
        <v>11</v>
      </c>
      <c r="K787" s="11" t="s">
        <v>12</v>
      </c>
      <c r="L787" s="10" t="s">
        <v>13</v>
      </c>
      <c r="M787" s="11" t="s">
        <v>14</v>
      </c>
      <c r="N787" s="12" t="s">
        <v>15</v>
      </c>
      <c r="O787" s="57" t="s">
        <v>16</v>
      </c>
      <c r="P787" s="57" t="s">
        <v>17</v>
      </c>
      <c r="Q787" s="54"/>
      <c r="R787" s="52"/>
      <c r="S787" s="1"/>
      <c r="T787" s="1"/>
      <c r="U787" s="1"/>
    </row>
    <row r="788" spans="1:21" x14ac:dyDescent="0.3">
      <c r="A788" s="1"/>
      <c r="B788" s="56"/>
      <c r="C788" s="56"/>
      <c r="D788" s="13" t="s">
        <v>18</v>
      </c>
      <c r="E788" s="13" t="s">
        <v>18</v>
      </c>
      <c r="F788" s="13" t="s">
        <v>18</v>
      </c>
      <c r="G788" s="13" t="s">
        <v>18</v>
      </c>
      <c r="H788" s="13" t="s">
        <v>18</v>
      </c>
      <c r="I788" s="13" t="s">
        <v>18</v>
      </c>
      <c r="J788" s="13" t="s">
        <v>18</v>
      </c>
      <c r="K788" s="13" t="s">
        <v>18</v>
      </c>
      <c r="L788" s="13" t="s">
        <v>18</v>
      </c>
      <c r="M788" s="13" t="s">
        <v>18</v>
      </c>
      <c r="N788" s="14" t="s">
        <v>29</v>
      </c>
      <c r="O788" s="58"/>
      <c r="P788" s="58"/>
      <c r="Q788" s="54"/>
      <c r="R788" s="52"/>
      <c r="S788" s="1"/>
      <c r="T788" s="1"/>
      <c r="U788" s="1"/>
    </row>
    <row r="789" spans="1:21" x14ac:dyDescent="0.3">
      <c r="A789" s="1"/>
      <c r="B789" s="59" t="s">
        <v>20</v>
      </c>
      <c r="C789" s="60"/>
      <c r="D789" s="16">
        <v>0.1</v>
      </c>
      <c r="E789" s="16">
        <v>0.05</v>
      </c>
      <c r="F789" s="16">
        <v>0.1</v>
      </c>
      <c r="G789" s="16">
        <v>0.1</v>
      </c>
      <c r="H789" s="16">
        <v>0.05</v>
      </c>
      <c r="I789" s="17">
        <v>0.1</v>
      </c>
      <c r="J789" s="17">
        <v>0.35</v>
      </c>
      <c r="K789" s="17">
        <v>0.08</v>
      </c>
      <c r="L789" s="17">
        <v>0.02</v>
      </c>
      <c r="M789" s="17">
        <v>0.05</v>
      </c>
      <c r="N789" s="19">
        <v>1</v>
      </c>
      <c r="O789" s="20"/>
      <c r="P789" s="22"/>
      <c r="Q789" s="54"/>
      <c r="R789" s="52"/>
      <c r="S789" s="1"/>
      <c r="T789" s="1"/>
      <c r="U789" s="1"/>
    </row>
    <row r="790" spans="1:21" ht="18" x14ac:dyDescent="0.3">
      <c r="A790" s="1"/>
      <c r="B790" s="23">
        <v>1</v>
      </c>
      <c r="C790" s="24" t="s">
        <v>397</v>
      </c>
      <c r="D790" s="25">
        <v>0.98</v>
      </c>
      <c r="E790" s="25">
        <v>1</v>
      </c>
      <c r="F790" s="25">
        <v>1</v>
      </c>
      <c r="G790" s="25">
        <v>1</v>
      </c>
      <c r="H790" s="25">
        <v>1</v>
      </c>
      <c r="I790" s="25">
        <v>1</v>
      </c>
      <c r="J790" s="25">
        <v>0.8</v>
      </c>
      <c r="K790" s="25">
        <v>1</v>
      </c>
      <c r="L790" s="26">
        <v>0</v>
      </c>
      <c r="M790" s="26">
        <v>1</v>
      </c>
      <c r="N790" s="27">
        <v>0.90800000000000003</v>
      </c>
      <c r="O790" s="28">
        <v>0</v>
      </c>
      <c r="P790" s="27">
        <v>0.90800000000000003</v>
      </c>
      <c r="Q790" s="54"/>
      <c r="R790" s="52"/>
      <c r="S790" s="1"/>
      <c r="T790" s="1"/>
      <c r="U790" s="1"/>
    </row>
    <row r="791" spans="1:21" ht="18" x14ac:dyDescent="0.3">
      <c r="A791" s="1"/>
      <c r="B791" s="23">
        <v>2</v>
      </c>
      <c r="C791" s="24" t="s">
        <v>398</v>
      </c>
      <c r="D791" s="25">
        <v>1</v>
      </c>
      <c r="E791" s="25">
        <v>1</v>
      </c>
      <c r="F791" s="25">
        <v>1</v>
      </c>
      <c r="G791" s="25">
        <v>1</v>
      </c>
      <c r="H791" s="25">
        <v>1</v>
      </c>
      <c r="I791" s="25">
        <v>1</v>
      </c>
      <c r="J791" s="25">
        <v>0.8</v>
      </c>
      <c r="K791" s="25">
        <v>1</v>
      </c>
      <c r="L791" s="26">
        <v>0</v>
      </c>
      <c r="M791" s="26">
        <v>1</v>
      </c>
      <c r="N791" s="27">
        <v>0.91</v>
      </c>
      <c r="O791" s="28">
        <v>0</v>
      </c>
      <c r="P791" s="27">
        <v>0.91</v>
      </c>
      <c r="Q791" s="54"/>
      <c r="R791" s="52"/>
      <c r="S791" s="1"/>
      <c r="T791" s="1"/>
      <c r="U791" s="1"/>
    </row>
    <row r="792" spans="1:21" ht="18" x14ac:dyDescent="0.3">
      <c r="A792" s="1"/>
      <c r="B792" s="23">
        <v>3</v>
      </c>
      <c r="C792" s="24" t="s">
        <v>399</v>
      </c>
      <c r="D792" s="25">
        <v>1</v>
      </c>
      <c r="E792" s="25">
        <v>1</v>
      </c>
      <c r="F792" s="25">
        <v>1</v>
      </c>
      <c r="G792" s="25">
        <v>0.99109999999999998</v>
      </c>
      <c r="H792" s="25">
        <v>1</v>
      </c>
      <c r="I792" s="25">
        <v>1</v>
      </c>
      <c r="J792" s="25">
        <v>1</v>
      </c>
      <c r="K792" s="25">
        <v>0.5</v>
      </c>
      <c r="L792" s="26">
        <v>0</v>
      </c>
      <c r="M792" s="26">
        <v>1</v>
      </c>
      <c r="N792" s="27">
        <v>0.93910000000000005</v>
      </c>
      <c r="O792" s="28">
        <v>0</v>
      </c>
      <c r="P792" s="27">
        <v>0.93910000000000005</v>
      </c>
      <c r="Q792" s="54"/>
      <c r="R792" s="52"/>
      <c r="S792" s="1"/>
      <c r="T792" s="1"/>
      <c r="U792" s="1"/>
    </row>
    <row r="793" spans="1:21" ht="18" x14ac:dyDescent="0.3">
      <c r="A793" s="1"/>
      <c r="B793" s="23">
        <v>4</v>
      </c>
      <c r="C793" s="24" t="s">
        <v>400</v>
      </c>
      <c r="D793" s="25">
        <v>1</v>
      </c>
      <c r="E793" s="25">
        <v>1</v>
      </c>
      <c r="F793" s="25">
        <v>1</v>
      </c>
      <c r="G793" s="25">
        <v>1</v>
      </c>
      <c r="H793" s="25">
        <v>1</v>
      </c>
      <c r="I793" s="25">
        <v>1</v>
      </c>
      <c r="J793" s="25">
        <v>1</v>
      </c>
      <c r="K793" s="25">
        <v>0.5</v>
      </c>
      <c r="L793" s="26">
        <v>0</v>
      </c>
      <c r="M793" s="26">
        <v>1</v>
      </c>
      <c r="N793" s="27">
        <v>0.94</v>
      </c>
      <c r="O793" s="28">
        <v>0</v>
      </c>
      <c r="P793" s="27">
        <v>0.94</v>
      </c>
      <c r="Q793" s="54"/>
      <c r="R793" s="52"/>
      <c r="S793" s="1"/>
      <c r="T793" s="1"/>
      <c r="U793" s="1"/>
    </row>
    <row r="794" spans="1:21" ht="18" x14ac:dyDescent="0.3">
      <c r="A794" s="1"/>
      <c r="B794" s="23">
        <v>5</v>
      </c>
      <c r="C794" s="24" t="s">
        <v>401</v>
      </c>
      <c r="D794" s="25">
        <v>1</v>
      </c>
      <c r="E794" s="25">
        <v>1</v>
      </c>
      <c r="F794" s="25">
        <v>1</v>
      </c>
      <c r="G794" s="25">
        <v>1</v>
      </c>
      <c r="H794" s="25">
        <v>1</v>
      </c>
      <c r="I794" s="25">
        <v>0.99790000000000001</v>
      </c>
      <c r="J794" s="25">
        <v>0.8</v>
      </c>
      <c r="K794" s="25">
        <v>1</v>
      </c>
      <c r="L794" s="26">
        <v>0</v>
      </c>
      <c r="M794" s="26">
        <v>1</v>
      </c>
      <c r="N794" s="27">
        <v>0.90980000000000005</v>
      </c>
      <c r="O794" s="28">
        <v>0</v>
      </c>
      <c r="P794" s="27">
        <v>0.90980000000000005</v>
      </c>
      <c r="Q794" s="54"/>
      <c r="R794" s="52"/>
      <c r="S794" s="1"/>
      <c r="T794" s="1"/>
      <c r="U794" s="1"/>
    </row>
    <row r="795" spans="1:21" x14ac:dyDescent="0.3">
      <c r="A795" s="1"/>
      <c r="B795" s="59" t="s">
        <v>27</v>
      </c>
      <c r="C795" s="60"/>
      <c r="D795" s="31">
        <v>1</v>
      </c>
      <c r="E795" s="31">
        <v>1</v>
      </c>
      <c r="F795" s="43" t="e">
        <v>#REF!</v>
      </c>
      <c r="G795" s="31">
        <v>1</v>
      </c>
      <c r="H795" s="31">
        <v>1</v>
      </c>
      <c r="I795" s="31">
        <v>1</v>
      </c>
      <c r="J795" s="31">
        <v>0.88</v>
      </c>
      <c r="K795" s="31">
        <v>0.8</v>
      </c>
      <c r="L795" s="31">
        <v>0</v>
      </c>
      <c r="M795" s="31">
        <v>1</v>
      </c>
      <c r="N795" s="31">
        <v>0.92</v>
      </c>
      <c r="O795" s="31">
        <v>0</v>
      </c>
      <c r="P795" s="31">
        <v>0.92</v>
      </c>
      <c r="Q795" s="54"/>
      <c r="R795" s="52"/>
      <c r="S795" s="1"/>
      <c r="T795" s="1"/>
      <c r="U795" s="1"/>
    </row>
    <row r="796" spans="1:2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52"/>
      <c r="R796" s="52"/>
      <c r="S796" s="1"/>
      <c r="T796" s="1"/>
      <c r="U796" s="1"/>
    </row>
    <row r="797" spans="1:2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52"/>
      <c r="R797" s="52"/>
      <c r="S797" s="1"/>
      <c r="T797" s="1"/>
      <c r="U797" s="1"/>
    </row>
    <row r="798" spans="1:2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52"/>
      <c r="R798" s="52"/>
      <c r="S798" s="1"/>
      <c r="T798" s="1"/>
      <c r="U798" s="1"/>
    </row>
    <row r="799" spans="1:21" ht="15.6" x14ac:dyDescent="0.3">
      <c r="A799" s="1"/>
      <c r="B799" s="3"/>
      <c r="C799" s="4" t="s">
        <v>402</v>
      </c>
      <c r="D799" s="3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5" t="s">
        <v>2</v>
      </c>
      <c r="Q799" s="54"/>
      <c r="R799" s="52"/>
      <c r="S799" s="1"/>
      <c r="T799" s="1"/>
      <c r="U799" s="1"/>
    </row>
    <row r="800" spans="1:21" ht="15.6" x14ac:dyDescent="0.3">
      <c r="A800" s="1"/>
      <c r="B800" s="3"/>
      <c r="C800" s="6">
        <v>46174</v>
      </c>
      <c r="D800" s="3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7">
        <v>0.92</v>
      </c>
      <c r="Q800" s="54"/>
      <c r="R800" s="52"/>
      <c r="S800" s="1"/>
      <c r="T800" s="1"/>
      <c r="U800" s="1"/>
    </row>
    <row r="801" spans="1:21" ht="42" x14ac:dyDescent="0.3">
      <c r="A801" s="1"/>
      <c r="B801" s="55" t="s">
        <v>3</v>
      </c>
      <c r="C801" s="55" t="s">
        <v>4</v>
      </c>
      <c r="D801" s="8" t="s">
        <v>5</v>
      </c>
      <c r="E801" s="8" t="s">
        <v>6</v>
      </c>
      <c r="F801" s="9" t="s">
        <v>7</v>
      </c>
      <c r="G801" s="9" t="s">
        <v>8</v>
      </c>
      <c r="H801" s="9" t="s">
        <v>9</v>
      </c>
      <c r="I801" s="10" t="s">
        <v>10</v>
      </c>
      <c r="J801" s="10" t="s">
        <v>11</v>
      </c>
      <c r="K801" s="11" t="s">
        <v>12</v>
      </c>
      <c r="L801" s="10" t="s">
        <v>13</v>
      </c>
      <c r="M801" s="11" t="s">
        <v>14</v>
      </c>
      <c r="N801" s="12" t="s">
        <v>15</v>
      </c>
      <c r="O801" s="57" t="s">
        <v>16</v>
      </c>
      <c r="P801" s="57" t="s">
        <v>17</v>
      </c>
      <c r="Q801" s="54"/>
      <c r="R801" s="52"/>
      <c r="S801" s="1"/>
      <c r="T801" s="1"/>
      <c r="U801" s="1"/>
    </row>
    <row r="802" spans="1:21" x14ac:dyDescent="0.3">
      <c r="A802" s="1"/>
      <c r="B802" s="56"/>
      <c r="C802" s="56"/>
      <c r="D802" s="13" t="s">
        <v>18</v>
      </c>
      <c r="E802" s="13" t="s">
        <v>18</v>
      </c>
      <c r="F802" s="13" t="s">
        <v>18</v>
      </c>
      <c r="G802" s="13" t="s">
        <v>18</v>
      </c>
      <c r="H802" s="13" t="s">
        <v>18</v>
      </c>
      <c r="I802" s="13" t="s">
        <v>18</v>
      </c>
      <c r="J802" s="13" t="s">
        <v>18</v>
      </c>
      <c r="K802" s="13" t="s">
        <v>18</v>
      </c>
      <c r="L802" s="13" t="s">
        <v>18</v>
      </c>
      <c r="M802" s="13" t="s">
        <v>18</v>
      </c>
      <c r="N802" s="14" t="s">
        <v>29</v>
      </c>
      <c r="O802" s="58"/>
      <c r="P802" s="58"/>
      <c r="Q802" s="54"/>
      <c r="R802" s="52"/>
      <c r="S802" s="1"/>
      <c r="T802" s="1"/>
      <c r="U802" s="1"/>
    </row>
    <row r="803" spans="1:21" x14ac:dyDescent="0.3">
      <c r="A803" s="1"/>
      <c r="B803" s="59" t="s">
        <v>20</v>
      </c>
      <c r="C803" s="60"/>
      <c r="D803" s="16">
        <v>0.1</v>
      </c>
      <c r="E803" s="16">
        <v>0.05</v>
      </c>
      <c r="F803" s="16">
        <v>0.1</v>
      </c>
      <c r="G803" s="16">
        <v>0.1</v>
      </c>
      <c r="H803" s="16">
        <v>0.05</v>
      </c>
      <c r="I803" s="17">
        <v>0.1</v>
      </c>
      <c r="J803" s="17">
        <v>0.35</v>
      </c>
      <c r="K803" s="17">
        <v>0.08</v>
      </c>
      <c r="L803" s="17">
        <v>0.02</v>
      </c>
      <c r="M803" s="17">
        <v>0.05</v>
      </c>
      <c r="N803" s="19">
        <v>1</v>
      </c>
      <c r="O803" s="20"/>
      <c r="P803" s="22"/>
      <c r="Q803" s="54"/>
      <c r="R803" s="52"/>
      <c r="S803" s="1"/>
      <c r="T803" s="1"/>
      <c r="U803" s="1"/>
    </row>
    <row r="804" spans="1:21" ht="18" x14ac:dyDescent="0.3">
      <c r="A804" s="1"/>
      <c r="B804" s="23">
        <v>1</v>
      </c>
      <c r="C804" s="24" t="s">
        <v>403</v>
      </c>
      <c r="D804" s="25">
        <v>1</v>
      </c>
      <c r="E804" s="25">
        <v>0.99</v>
      </c>
      <c r="F804" s="25">
        <v>1</v>
      </c>
      <c r="G804" s="25">
        <v>0.75819999999999999</v>
      </c>
      <c r="H804" s="25">
        <v>1</v>
      </c>
      <c r="I804" s="25">
        <v>0.98560000000000003</v>
      </c>
      <c r="J804" s="25">
        <v>1</v>
      </c>
      <c r="K804" s="25">
        <v>0</v>
      </c>
      <c r="L804" s="26">
        <v>0</v>
      </c>
      <c r="M804" s="26">
        <v>0.5</v>
      </c>
      <c r="N804" s="27">
        <v>0.84889999999999999</v>
      </c>
      <c r="O804" s="28">
        <v>0</v>
      </c>
      <c r="P804" s="27">
        <v>0.84889999999999999</v>
      </c>
      <c r="Q804" s="54"/>
      <c r="R804" s="52"/>
      <c r="S804" s="1"/>
      <c r="T804" s="1"/>
      <c r="U804" s="1"/>
    </row>
    <row r="805" spans="1:21" ht="18" x14ac:dyDescent="0.3">
      <c r="A805" s="1"/>
      <c r="B805" s="23">
        <v>2</v>
      </c>
      <c r="C805" s="24" t="s">
        <v>404</v>
      </c>
      <c r="D805" s="25">
        <v>1</v>
      </c>
      <c r="E805" s="25">
        <v>1</v>
      </c>
      <c r="F805" s="25">
        <v>1</v>
      </c>
      <c r="G805" s="25">
        <v>0.96430000000000005</v>
      </c>
      <c r="H805" s="25">
        <v>1</v>
      </c>
      <c r="I805" s="25">
        <v>0.98729999999999996</v>
      </c>
      <c r="J805" s="25">
        <v>0.8</v>
      </c>
      <c r="K805" s="25">
        <v>0.5</v>
      </c>
      <c r="L805" s="26">
        <v>0</v>
      </c>
      <c r="M805" s="26">
        <v>1</v>
      </c>
      <c r="N805" s="27">
        <v>0.86519999999999997</v>
      </c>
      <c r="O805" s="28">
        <v>0</v>
      </c>
      <c r="P805" s="27">
        <v>0.86519999999999997</v>
      </c>
      <c r="Q805" s="54"/>
      <c r="R805" s="52"/>
      <c r="S805" s="1"/>
      <c r="T805" s="1"/>
      <c r="U805" s="1"/>
    </row>
    <row r="806" spans="1:21" ht="18" x14ac:dyDescent="0.3">
      <c r="A806" s="1"/>
      <c r="B806" s="23">
        <v>3</v>
      </c>
      <c r="C806" s="24" t="s">
        <v>405</v>
      </c>
      <c r="D806" s="25">
        <v>1</v>
      </c>
      <c r="E806" s="25">
        <v>1</v>
      </c>
      <c r="F806" s="25">
        <v>1</v>
      </c>
      <c r="G806" s="25">
        <v>1</v>
      </c>
      <c r="H806" s="25">
        <v>1</v>
      </c>
      <c r="I806" s="25">
        <v>0.99199999999999999</v>
      </c>
      <c r="J806" s="25">
        <v>1</v>
      </c>
      <c r="K806" s="25">
        <v>0.5</v>
      </c>
      <c r="L806" s="26">
        <v>1</v>
      </c>
      <c r="M806" s="26">
        <v>1</v>
      </c>
      <c r="N806" s="27">
        <v>0.95920000000000005</v>
      </c>
      <c r="O806" s="28">
        <v>0</v>
      </c>
      <c r="P806" s="27">
        <v>0.95920000000000005</v>
      </c>
      <c r="Q806" s="54"/>
      <c r="R806" s="52"/>
      <c r="S806" s="1"/>
      <c r="T806" s="1"/>
      <c r="U806" s="1"/>
    </row>
    <row r="807" spans="1:21" ht="18" x14ac:dyDescent="0.3">
      <c r="A807" s="1"/>
      <c r="B807" s="23">
        <v>4</v>
      </c>
      <c r="C807" s="24" t="s">
        <v>406</v>
      </c>
      <c r="D807" s="25">
        <v>1</v>
      </c>
      <c r="E807" s="25">
        <v>1</v>
      </c>
      <c r="F807" s="25">
        <v>1</v>
      </c>
      <c r="G807" s="25">
        <v>1</v>
      </c>
      <c r="H807" s="25">
        <v>1</v>
      </c>
      <c r="I807" s="25">
        <v>0.97119999999999995</v>
      </c>
      <c r="J807" s="25">
        <v>1</v>
      </c>
      <c r="K807" s="25">
        <v>1</v>
      </c>
      <c r="L807" s="26">
        <v>1</v>
      </c>
      <c r="M807" s="26">
        <v>1</v>
      </c>
      <c r="N807" s="27">
        <v>0.99709999999999999</v>
      </c>
      <c r="O807" s="28">
        <v>0</v>
      </c>
      <c r="P807" s="27">
        <v>0.99709999999999999</v>
      </c>
      <c r="Q807" s="54"/>
      <c r="R807" s="52"/>
      <c r="S807" s="1"/>
      <c r="T807" s="1"/>
      <c r="U807" s="1"/>
    </row>
    <row r="808" spans="1:21" ht="18" x14ac:dyDescent="0.3">
      <c r="A808" s="1"/>
      <c r="B808" s="23">
        <v>5</v>
      </c>
      <c r="C808" s="24" t="s">
        <v>407</v>
      </c>
      <c r="D808" s="25">
        <v>1</v>
      </c>
      <c r="E808" s="25">
        <v>1</v>
      </c>
      <c r="F808" s="25">
        <v>1</v>
      </c>
      <c r="G808" s="25">
        <v>1</v>
      </c>
      <c r="H808" s="25">
        <v>1</v>
      </c>
      <c r="I808" s="25">
        <v>1</v>
      </c>
      <c r="J808" s="25">
        <v>0.8</v>
      </c>
      <c r="K808" s="25">
        <v>1</v>
      </c>
      <c r="L808" s="26">
        <v>0</v>
      </c>
      <c r="M808" s="26">
        <v>1</v>
      </c>
      <c r="N808" s="27">
        <v>0.91</v>
      </c>
      <c r="O808" s="28">
        <v>0</v>
      </c>
      <c r="P808" s="27">
        <v>0.91</v>
      </c>
      <c r="Q808" s="54"/>
      <c r="R808" s="52"/>
      <c r="S808" s="1"/>
      <c r="T808" s="1"/>
      <c r="U808" s="1"/>
    </row>
    <row r="809" spans="1:21" x14ac:dyDescent="0.3">
      <c r="A809" s="1"/>
      <c r="B809" s="59" t="s">
        <v>27</v>
      </c>
      <c r="C809" s="60"/>
      <c r="D809" s="31">
        <v>1</v>
      </c>
      <c r="E809" s="31">
        <v>1</v>
      </c>
      <c r="F809" s="31">
        <v>1</v>
      </c>
      <c r="G809" s="31">
        <v>0.94</v>
      </c>
      <c r="H809" s="31">
        <v>1</v>
      </c>
      <c r="I809" s="31">
        <v>0.99</v>
      </c>
      <c r="J809" s="31">
        <v>0.92</v>
      </c>
      <c r="K809" s="31">
        <v>0.6</v>
      </c>
      <c r="L809" s="31">
        <v>0.4</v>
      </c>
      <c r="M809" s="31">
        <v>0.9</v>
      </c>
      <c r="N809" s="31">
        <v>0.92</v>
      </c>
      <c r="O809" s="31">
        <v>0</v>
      </c>
      <c r="P809" s="31">
        <v>0.92</v>
      </c>
      <c r="Q809" s="54"/>
      <c r="R809" s="52"/>
      <c r="S809" s="1"/>
      <c r="T809" s="1"/>
      <c r="U809" s="1"/>
    </row>
    <row r="810" spans="1:2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52"/>
      <c r="R810" s="52"/>
      <c r="S810" s="1"/>
      <c r="T810" s="1"/>
      <c r="U810" s="1"/>
    </row>
    <row r="811" spans="1:2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52"/>
      <c r="R811" s="52"/>
      <c r="S811" s="1"/>
      <c r="T811" s="1"/>
      <c r="U811" s="1"/>
    </row>
    <row r="812" spans="1:21" ht="15.6" x14ac:dyDescent="0.3">
      <c r="A812" s="1"/>
      <c r="B812" s="3"/>
      <c r="C812" s="4" t="s">
        <v>408</v>
      </c>
      <c r="D812" s="3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5" t="s">
        <v>2</v>
      </c>
      <c r="Q812" s="54"/>
      <c r="R812" s="52"/>
      <c r="S812" s="1"/>
      <c r="T812" s="1"/>
      <c r="U812" s="1"/>
    </row>
    <row r="813" spans="1:21" ht="15.6" x14ac:dyDescent="0.3">
      <c r="A813" s="1"/>
      <c r="B813" s="3"/>
      <c r="C813" s="6">
        <v>46174</v>
      </c>
      <c r="D813" s="3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7">
        <v>0.9</v>
      </c>
      <c r="Q813" s="54"/>
      <c r="R813" s="52"/>
      <c r="S813" s="1"/>
      <c r="T813" s="1"/>
      <c r="U813" s="1"/>
    </row>
    <row r="814" spans="1:21" ht="42" x14ac:dyDescent="0.3">
      <c r="A814" s="1"/>
      <c r="B814" s="55" t="s">
        <v>3</v>
      </c>
      <c r="C814" s="55" t="s">
        <v>4</v>
      </c>
      <c r="D814" s="8" t="s">
        <v>5</v>
      </c>
      <c r="E814" s="8" t="s">
        <v>6</v>
      </c>
      <c r="F814" s="9" t="s">
        <v>7</v>
      </c>
      <c r="G814" s="9" t="s">
        <v>8</v>
      </c>
      <c r="H814" s="9" t="s">
        <v>9</v>
      </c>
      <c r="I814" s="10" t="s">
        <v>10</v>
      </c>
      <c r="J814" s="10" t="s">
        <v>11</v>
      </c>
      <c r="K814" s="11" t="s">
        <v>12</v>
      </c>
      <c r="L814" s="10" t="s">
        <v>13</v>
      </c>
      <c r="M814" s="11" t="s">
        <v>14</v>
      </c>
      <c r="N814" s="12" t="s">
        <v>15</v>
      </c>
      <c r="O814" s="57" t="s">
        <v>16</v>
      </c>
      <c r="P814" s="57" t="s">
        <v>17</v>
      </c>
      <c r="Q814" s="54"/>
      <c r="R814" s="52"/>
      <c r="S814" s="1"/>
      <c r="T814" s="1"/>
      <c r="U814" s="1"/>
    </row>
    <row r="815" spans="1:21" x14ac:dyDescent="0.3">
      <c r="A815" s="1"/>
      <c r="B815" s="56"/>
      <c r="C815" s="56"/>
      <c r="D815" s="13" t="s">
        <v>18</v>
      </c>
      <c r="E815" s="13" t="s">
        <v>18</v>
      </c>
      <c r="F815" s="13" t="s">
        <v>18</v>
      </c>
      <c r="G815" s="13" t="s">
        <v>18</v>
      </c>
      <c r="H815" s="13" t="s">
        <v>18</v>
      </c>
      <c r="I815" s="13" t="s">
        <v>18</v>
      </c>
      <c r="J815" s="13" t="s">
        <v>18</v>
      </c>
      <c r="K815" s="13" t="s">
        <v>18</v>
      </c>
      <c r="L815" s="13" t="s">
        <v>18</v>
      </c>
      <c r="M815" s="13" t="s">
        <v>18</v>
      </c>
      <c r="N815" s="14" t="s">
        <v>29</v>
      </c>
      <c r="O815" s="58"/>
      <c r="P815" s="58"/>
      <c r="Q815" s="54"/>
      <c r="R815" s="52"/>
      <c r="S815" s="1"/>
      <c r="T815" s="1"/>
      <c r="U815" s="1"/>
    </row>
    <row r="816" spans="1:21" x14ac:dyDescent="0.3">
      <c r="A816" s="1"/>
      <c r="B816" s="59" t="s">
        <v>20</v>
      </c>
      <c r="C816" s="60"/>
      <c r="D816" s="16">
        <v>0.1</v>
      </c>
      <c r="E816" s="16">
        <v>0.05</v>
      </c>
      <c r="F816" s="16">
        <v>0.1</v>
      </c>
      <c r="G816" s="16">
        <v>0.1</v>
      </c>
      <c r="H816" s="16">
        <v>0.05</v>
      </c>
      <c r="I816" s="17">
        <v>0.1</v>
      </c>
      <c r="J816" s="17">
        <v>0.35</v>
      </c>
      <c r="K816" s="17">
        <v>0.08</v>
      </c>
      <c r="L816" s="17">
        <v>0.02</v>
      </c>
      <c r="M816" s="17">
        <v>0.05</v>
      </c>
      <c r="N816" s="19">
        <v>1</v>
      </c>
      <c r="O816" s="20"/>
      <c r="P816" s="22"/>
      <c r="Q816" s="54"/>
      <c r="R816" s="52"/>
      <c r="S816" s="1"/>
      <c r="T816" s="1"/>
      <c r="U816" s="1"/>
    </row>
    <row r="817" spans="1:21" ht="18" x14ac:dyDescent="0.3">
      <c r="A817" s="1"/>
      <c r="B817" s="23">
        <v>1</v>
      </c>
      <c r="C817" s="24" t="s">
        <v>409</v>
      </c>
      <c r="D817" s="25">
        <v>1</v>
      </c>
      <c r="E817" s="25">
        <v>1</v>
      </c>
      <c r="F817" s="25">
        <v>1</v>
      </c>
      <c r="G817" s="25">
        <v>1</v>
      </c>
      <c r="H817" s="25">
        <v>1</v>
      </c>
      <c r="I817" s="25">
        <v>0.99460000000000004</v>
      </c>
      <c r="J817" s="25">
        <v>0.8</v>
      </c>
      <c r="K817" s="25">
        <v>0.5</v>
      </c>
      <c r="L817" s="26">
        <v>0</v>
      </c>
      <c r="M817" s="26">
        <v>1</v>
      </c>
      <c r="N817" s="27">
        <v>0.86950000000000005</v>
      </c>
      <c r="O817" s="28">
        <v>0</v>
      </c>
      <c r="P817" s="27">
        <v>0.86950000000000005</v>
      </c>
      <c r="Q817" s="54"/>
      <c r="R817" s="52"/>
      <c r="S817" s="1"/>
      <c r="T817" s="1"/>
      <c r="U817" s="1"/>
    </row>
    <row r="818" spans="1:21" ht="18" x14ac:dyDescent="0.3">
      <c r="A818" s="1"/>
      <c r="B818" s="23">
        <v>2</v>
      </c>
      <c r="C818" s="24" t="s">
        <v>410</v>
      </c>
      <c r="D818" s="25">
        <v>0.94</v>
      </c>
      <c r="E818" s="25">
        <v>1</v>
      </c>
      <c r="F818" s="25">
        <v>1</v>
      </c>
      <c r="G818" s="25">
        <v>1</v>
      </c>
      <c r="H818" s="25">
        <v>1</v>
      </c>
      <c r="I818" s="25">
        <v>1</v>
      </c>
      <c r="J818" s="25">
        <v>1</v>
      </c>
      <c r="K818" s="25">
        <v>1</v>
      </c>
      <c r="L818" s="26">
        <v>0</v>
      </c>
      <c r="M818" s="26">
        <v>1</v>
      </c>
      <c r="N818" s="27">
        <v>0.97399999999999998</v>
      </c>
      <c r="O818" s="28">
        <v>0</v>
      </c>
      <c r="P818" s="27">
        <v>0.97399999999999998</v>
      </c>
      <c r="Q818" s="54"/>
      <c r="R818" s="52"/>
      <c r="S818" s="1"/>
      <c r="T818" s="1"/>
      <c r="U818" s="1"/>
    </row>
    <row r="819" spans="1:21" ht="18" x14ac:dyDescent="0.3">
      <c r="A819" s="1"/>
      <c r="B819" s="23">
        <v>3</v>
      </c>
      <c r="C819" s="24" t="s">
        <v>411</v>
      </c>
      <c r="D819" s="25">
        <v>0.94</v>
      </c>
      <c r="E819" s="25">
        <v>1</v>
      </c>
      <c r="F819" s="25">
        <v>1</v>
      </c>
      <c r="G819" s="25">
        <v>0.76959999999999995</v>
      </c>
      <c r="H819" s="25">
        <v>1</v>
      </c>
      <c r="I819" s="25">
        <v>0.99870000000000003</v>
      </c>
      <c r="J819" s="25">
        <v>1</v>
      </c>
      <c r="K819" s="25">
        <v>0</v>
      </c>
      <c r="L819" s="26">
        <v>0</v>
      </c>
      <c r="M819" s="26">
        <v>0.5</v>
      </c>
      <c r="N819" s="27">
        <v>0.8458</v>
      </c>
      <c r="O819" s="28">
        <v>0</v>
      </c>
      <c r="P819" s="27">
        <v>0.8458</v>
      </c>
      <c r="Q819" s="54"/>
      <c r="R819" s="52"/>
      <c r="S819" s="1"/>
      <c r="T819" s="1"/>
      <c r="U819" s="1"/>
    </row>
    <row r="820" spans="1:21" ht="18" x14ac:dyDescent="0.3">
      <c r="A820" s="1"/>
      <c r="B820" s="23">
        <v>4</v>
      </c>
      <c r="C820" s="24" t="s">
        <v>412</v>
      </c>
      <c r="D820" s="25">
        <v>1</v>
      </c>
      <c r="E820" s="25">
        <v>0.99</v>
      </c>
      <c r="F820" s="25">
        <v>1</v>
      </c>
      <c r="G820" s="25">
        <v>0.75980000000000003</v>
      </c>
      <c r="H820" s="25">
        <v>0</v>
      </c>
      <c r="I820" s="25">
        <v>0.9738</v>
      </c>
      <c r="J820" s="25">
        <v>0.8</v>
      </c>
      <c r="K820" s="25">
        <v>1</v>
      </c>
      <c r="L820" s="26">
        <v>0</v>
      </c>
      <c r="M820" s="26">
        <v>0.5</v>
      </c>
      <c r="N820" s="27">
        <v>0.80789999999999995</v>
      </c>
      <c r="O820" s="28">
        <v>0</v>
      </c>
      <c r="P820" s="27">
        <v>0.80789999999999995</v>
      </c>
      <c r="Q820" s="54"/>
      <c r="R820" s="52"/>
      <c r="S820" s="1"/>
      <c r="T820" s="1"/>
      <c r="U820" s="1"/>
    </row>
    <row r="821" spans="1:21" ht="18" x14ac:dyDescent="0.3">
      <c r="A821" s="1"/>
      <c r="B821" s="23">
        <v>5</v>
      </c>
      <c r="C821" s="24" t="s">
        <v>413</v>
      </c>
      <c r="D821" s="25">
        <v>0.98</v>
      </c>
      <c r="E821" s="25">
        <v>0.99</v>
      </c>
      <c r="F821" s="25">
        <v>1</v>
      </c>
      <c r="G821" s="25">
        <v>1</v>
      </c>
      <c r="H821" s="25">
        <v>1</v>
      </c>
      <c r="I821" s="25">
        <v>1</v>
      </c>
      <c r="J821" s="25">
        <v>1</v>
      </c>
      <c r="K821" s="25">
        <v>1</v>
      </c>
      <c r="L821" s="26">
        <v>1</v>
      </c>
      <c r="M821" s="26">
        <v>1</v>
      </c>
      <c r="N821" s="27">
        <v>0.99750000000000005</v>
      </c>
      <c r="O821" s="28">
        <v>0</v>
      </c>
      <c r="P821" s="27">
        <v>0.99750000000000005</v>
      </c>
      <c r="Q821" s="54"/>
      <c r="R821" s="52"/>
      <c r="S821" s="1"/>
      <c r="T821" s="1"/>
      <c r="U821" s="1"/>
    </row>
    <row r="822" spans="1:21" x14ac:dyDescent="0.3">
      <c r="A822" s="1"/>
      <c r="B822" s="59" t="s">
        <v>27</v>
      </c>
      <c r="C822" s="60"/>
      <c r="D822" s="31">
        <v>0.97</v>
      </c>
      <c r="E822" s="31">
        <v>1</v>
      </c>
      <c r="F822" s="31">
        <v>1</v>
      </c>
      <c r="G822" s="31">
        <v>0.91</v>
      </c>
      <c r="H822" s="31">
        <v>0.8</v>
      </c>
      <c r="I822" s="31">
        <v>0.99</v>
      </c>
      <c r="J822" s="31">
        <v>0.92</v>
      </c>
      <c r="K822" s="31">
        <v>0.7</v>
      </c>
      <c r="L822" s="31">
        <v>0.2</v>
      </c>
      <c r="M822" s="31">
        <v>0.8</v>
      </c>
      <c r="N822" s="31">
        <v>0.9</v>
      </c>
      <c r="O822" s="31">
        <v>0</v>
      </c>
      <c r="P822" s="31">
        <v>0.9</v>
      </c>
      <c r="Q822" s="54"/>
      <c r="R822" s="52"/>
      <c r="S822" s="1"/>
      <c r="T822" s="1"/>
      <c r="U822" s="1"/>
    </row>
    <row r="823" spans="1:2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52"/>
      <c r="R823" s="52"/>
      <c r="S823" s="1"/>
      <c r="T823" s="1"/>
      <c r="U823" s="1"/>
    </row>
    <row r="824" spans="1:2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61"/>
      <c r="R824" s="61"/>
      <c r="S824" s="21"/>
      <c r="T824" s="21"/>
      <c r="U824" s="21"/>
    </row>
    <row r="825" spans="1:21" ht="15.6" x14ac:dyDescent="0.3">
      <c r="A825" s="1"/>
      <c r="B825" s="3"/>
      <c r="C825" s="4" t="s">
        <v>414</v>
      </c>
      <c r="D825" s="3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5" t="s">
        <v>2</v>
      </c>
      <c r="Q825" s="54"/>
      <c r="R825" s="52"/>
      <c r="S825" s="1"/>
      <c r="T825" s="1"/>
      <c r="U825" s="1"/>
    </row>
    <row r="826" spans="1:21" ht="15.6" x14ac:dyDescent="0.3">
      <c r="A826" s="1"/>
      <c r="B826" s="3"/>
      <c r="C826" s="6">
        <v>46174</v>
      </c>
      <c r="D826" s="3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7">
        <v>0.96</v>
      </c>
      <c r="Q826" s="54"/>
      <c r="R826" s="52"/>
      <c r="S826" s="1"/>
      <c r="T826" s="1"/>
      <c r="U826" s="1"/>
    </row>
    <row r="827" spans="1:21" ht="42" x14ac:dyDescent="0.3">
      <c r="A827" s="1"/>
      <c r="B827" s="55" t="s">
        <v>3</v>
      </c>
      <c r="C827" s="55" t="s">
        <v>4</v>
      </c>
      <c r="D827" s="8" t="s">
        <v>5</v>
      </c>
      <c r="E827" s="8" t="s">
        <v>6</v>
      </c>
      <c r="F827" s="9" t="s">
        <v>7</v>
      </c>
      <c r="G827" s="9" t="s">
        <v>8</v>
      </c>
      <c r="H827" s="9" t="s">
        <v>9</v>
      </c>
      <c r="I827" s="10" t="s">
        <v>10</v>
      </c>
      <c r="J827" s="10" t="s">
        <v>11</v>
      </c>
      <c r="K827" s="11" t="s">
        <v>12</v>
      </c>
      <c r="L827" s="10" t="s">
        <v>13</v>
      </c>
      <c r="M827" s="11" t="s">
        <v>14</v>
      </c>
      <c r="N827" s="12" t="s">
        <v>15</v>
      </c>
      <c r="O827" s="57" t="s">
        <v>16</v>
      </c>
      <c r="P827" s="57" t="s">
        <v>17</v>
      </c>
      <c r="Q827" s="54"/>
      <c r="R827" s="52"/>
      <c r="S827" s="1"/>
      <c r="T827" s="1"/>
      <c r="U827" s="1"/>
    </row>
    <row r="828" spans="1:21" x14ac:dyDescent="0.3">
      <c r="A828" s="1"/>
      <c r="B828" s="56"/>
      <c r="C828" s="56"/>
      <c r="D828" s="13" t="s">
        <v>18</v>
      </c>
      <c r="E828" s="13" t="s">
        <v>18</v>
      </c>
      <c r="F828" s="13" t="s">
        <v>18</v>
      </c>
      <c r="G828" s="13" t="s">
        <v>18</v>
      </c>
      <c r="H828" s="13" t="s">
        <v>18</v>
      </c>
      <c r="I828" s="13" t="s">
        <v>18</v>
      </c>
      <c r="J828" s="13" t="s">
        <v>18</v>
      </c>
      <c r="K828" s="13" t="s">
        <v>18</v>
      </c>
      <c r="L828" s="13" t="s">
        <v>18</v>
      </c>
      <c r="M828" s="13" t="s">
        <v>18</v>
      </c>
      <c r="N828" s="14" t="s">
        <v>29</v>
      </c>
      <c r="O828" s="58"/>
      <c r="P828" s="58"/>
      <c r="Q828" s="54"/>
      <c r="R828" s="52"/>
      <c r="S828" s="1"/>
      <c r="T828" s="1"/>
      <c r="U828" s="1"/>
    </row>
    <row r="829" spans="1:21" x14ac:dyDescent="0.3">
      <c r="A829" s="1"/>
      <c r="B829" s="59" t="s">
        <v>20</v>
      </c>
      <c r="C829" s="60"/>
      <c r="D829" s="16">
        <v>0.1</v>
      </c>
      <c r="E829" s="16">
        <v>0.05</v>
      </c>
      <c r="F829" s="16">
        <v>0.1</v>
      </c>
      <c r="G829" s="16">
        <v>0.1</v>
      </c>
      <c r="H829" s="16">
        <v>0.05</v>
      </c>
      <c r="I829" s="17">
        <v>0.1</v>
      </c>
      <c r="J829" s="17">
        <v>0.35</v>
      </c>
      <c r="K829" s="17">
        <v>0.08</v>
      </c>
      <c r="L829" s="17">
        <v>0.02</v>
      </c>
      <c r="M829" s="17">
        <v>0.05</v>
      </c>
      <c r="N829" s="19">
        <v>1</v>
      </c>
      <c r="O829" s="20"/>
      <c r="P829" s="22"/>
      <c r="Q829" s="54"/>
      <c r="R829" s="52"/>
      <c r="S829" s="1"/>
      <c r="T829" s="1"/>
      <c r="U829" s="1"/>
    </row>
    <row r="830" spans="1:21" ht="18" x14ac:dyDescent="0.3">
      <c r="A830" s="1"/>
      <c r="B830" s="23">
        <v>1</v>
      </c>
      <c r="C830" s="24" t="s">
        <v>415</v>
      </c>
      <c r="D830" s="25">
        <v>1</v>
      </c>
      <c r="E830" s="25">
        <v>1</v>
      </c>
      <c r="F830" s="25">
        <v>1</v>
      </c>
      <c r="G830" s="25">
        <v>1</v>
      </c>
      <c r="H830" s="25">
        <v>1</v>
      </c>
      <c r="I830" s="25">
        <v>1</v>
      </c>
      <c r="J830" s="25">
        <v>1</v>
      </c>
      <c r="K830" s="25">
        <v>1</v>
      </c>
      <c r="L830" s="26">
        <v>0</v>
      </c>
      <c r="M830" s="26">
        <v>1</v>
      </c>
      <c r="N830" s="27">
        <v>0.98</v>
      </c>
      <c r="O830" s="28">
        <v>0</v>
      </c>
      <c r="P830" s="27">
        <v>0.98</v>
      </c>
      <c r="Q830" s="54"/>
      <c r="R830" s="52"/>
      <c r="S830" s="1"/>
      <c r="T830" s="1"/>
      <c r="U830" s="1"/>
    </row>
    <row r="831" spans="1:21" ht="18" x14ac:dyDescent="0.3">
      <c r="A831" s="1"/>
      <c r="B831" s="23">
        <v>2</v>
      </c>
      <c r="C831" s="24" t="s">
        <v>416</v>
      </c>
      <c r="D831" s="25">
        <v>1</v>
      </c>
      <c r="E831" s="25">
        <v>1</v>
      </c>
      <c r="F831" s="25">
        <v>1</v>
      </c>
      <c r="G831" s="25">
        <v>1</v>
      </c>
      <c r="H831" s="25">
        <v>1</v>
      </c>
      <c r="I831" s="25">
        <v>1</v>
      </c>
      <c r="J831" s="25">
        <v>1</v>
      </c>
      <c r="K831" s="25">
        <v>1</v>
      </c>
      <c r="L831" s="26">
        <v>0</v>
      </c>
      <c r="M831" s="26">
        <v>1</v>
      </c>
      <c r="N831" s="27">
        <v>0.98</v>
      </c>
      <c r="O831" s="28">
        <v>0</v>
      </c>
      <c r="P831" s="27">
        <v>0.98</v>
      </c>
      <c r="Q831" s="54"/>
      <c r="R831" s="52"/>
      <c r="S831" s="1"/>
      <c r="T831" s="1"/>
      <c r="U831" s="1"/>
    </row>
    <row r="832" spans="1:21" ht="18" x14ac:dyDescent="0.3">
      <c r="A832" s="1"/>
      <c r="B832" s="23">
        <v>3</v>
      </c>
      <c r="C832" s="24" t="s">
        <v>417</v>
      </c>
      <c r="D832" s="25">
        <v>0.98</v>
      </c>
      <c r="E832" s="25">
        <v>1</v>
      </c>
      <c r="F832" s="25">
        <v>1</v>
      </c>
      <c r="G832" s="25">
        <v>1</v>
      </c>
      <c r="H832" s="25">
        <v>1</v>
      </c>
      <c r="I832" s="25">
        <v>0.999</v>
      </c>
      <c r="J832" s="25">
        <v>1</v>
      </c>
      <c r="K832" s="25">
        <v>1</v>
      </c>
      <c r="L832" s="26">
        <v>0</v>
      </c>
      <c r="M832" s="26">
        <v>1</v>
      </c>
      <c r="N832" s="27">
        <v>0.97789999999999999</v>
      </c>
      <c r="O832" s="28">
        <v>0</v>
      </c>
      <c r="P832" s="27">
        <v>0.97789999999999999</v>
      </c>
      <c r="Q832" s="54"/>
      <c r="R832" s="52"/>
      <c r="S832" s="1"/>
      <c r="T832" s="1"/>
      <c r="U832" s="1"/>
    </row>
    <row r="833" spans="1:21" ht="18" x14ac:dyDescent="0.3">
      <c r="A833" s="1"/>
      <c r="B833" s="23">
        <v>4</v>
      </c>
      <c r="C833" s="24" t="s">
        <v>418</v>
      </c>
      <c r="D833" s="25">
        <v>0.98</v>
      </c>
      <c r="E833" s="25">
        <v>1</v>
      </c>
      <c r="F833" s="25">
        <v>1</v>
      </c>
      <c r="G833" s="25">
        <v>1</v>
      </c>
      <c r="H833" s="25">
        <v>1</v>
      </c>
      <c r="I833" s="25">
        <v>1</v>
      </c>
      <c r="J833" s="25">
        <v>1</v>
      </c>
      <c r="K833" s="25">
        <v>1</v>
      </c>
      <c r="L833" s="26">
        <v>0</v>
      </c>
      <c r="M833" s="26">
        <v>1</v>
      </c>
      <c r="N833" s="27">
        <v>0.97799999999999998</v>
      </c>
      <c r="O833" s="28">
        <v>0</v>
      </c>
      <c r="P833" s="27">
        <v>0.97799999999999998</v>
      </c>
      <c r="Q833" s="54"/>
      <c r="R833" s="52"/>
      <c r="S833" s="1"/>
      <c r="T833" s="1"/>
      <c r="U833" s="1"/>
    </row>
    <row r="834" spans="1:21" ht="18" x14ac:dyDescent="0.3">
      <c r="A834" s="1"/>
      <c r="B834" s="23">
        <v>5</v>
      </c>
      <c r="C834" s="24" t="s">
        <v>419</v>
      </c>
      <c r="D834" s="25">
        <v>1</v>
      </c>
      <c r="E834" s="25">
        <v>1</v>
      </c>
      <c r="F834" s="25">
        <v>1</v>
      </c>
      <c r="G834" s="25">
        <v>1</v>
      </c>
      <c r="H834" s="25">
        <v>1</v>
      </c>
      <c r="I834" s="25">
        <v>0.98819999999999997</v>
      </c>
      <c r="J834" s="25">
        <v>0.8</v>
      </c>
      <c r="K834" s="25">
        <v>1</v>
      </c>
      <c r="L834" s="26">
        <v>0</v>
      </c>
      <c r="M834" s="26">
        <v>1</v>
      </c>
      <c r="N834" s="27">
        <v>0.90880000000000005</v>
      </c>
      <c r="O834" s="28">
        <v>0.01</v>
      </c>
      <c r="P834" s="27">
        <v>0.89880000000000004</v>
      </c>
      <c r="Q834" s="54"/>
      <c r="R834" s="52"/>
      <c r="S834" s="1"/>
      <c r="T834" s="1"/>
      <c r="U834" s="1"/>
    </row>
    <row r="835" spans="1:21" x14ac:dyDescent="0.3">
      <c r="A835" s="1"/>
      <c r="B835" s="59" t="s">
        <v>27</v>
      </c>
      <c r="C835" s="60"/>
      <c r="D835" s="31">
        <v>0.99</v>
      </c>
      <c r="E835" s="31">
        <v>1</v>
      </c>
      <c r="F835" s="43" t="e">
        <v>#REF!</v>
      </c>
      <c r="G835" s="31">
        <v>1</v>
      </c>
      <c r="H835" s="31">
        <v>1</v>
      </c>
      <c r="I835" s="31">
        <v>1</v>
      </c>
      <c r="J835" s="31">
        <v>0.96</v>
      </c>
      <c r="K835" s="31">
        <v>1</v>
      </c>
      <c r="L835" s="31">
        <v>0</v>
      </c>
      <c r="M835" s="31">
        <v>1</v>
      </c>
      <c r="N835" s="31">
        <v>0.96</v>
      </c>
      <c r="O835" s="31">
        <v>0</v>
      </c>
      <c r="P835" s="31">
        <v>0.96</v>
      </c>
      <c r="Q835" s="54"/>
      <c r="R835" s="52"/>
      <c r="S835" s="1"/>
      <c r="T835" s="1"/>
      <c r="U835" s="1"/>
    </row>
    <row r="836" spans="1:2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52"/>
      <c r="R836" s="52"/>
      <c r="S836" s="1"/>
      <c r="T836" s="1"/>
      <c r="U836" s="1"/>
    </row>
    <row r="837" spans="1:2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52"/>
      <c r="R837" s="52"/>
      <c r="S837" s="1"/>
      <c r="T837" s="1"/>
      <c r="U837" s="1"/>
    </row>
    <row r="838" spans="1:21" ht="15.6" x14ac:dyDescent="0.3">
      <c r="A838" s="1"/>
      <c r="B838" s="3"/>
      <c r="C838" s="4" t="s">
        <v>420</v>
      </c>
      <c r="D838" s="3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5" t="s">
        <v>2</v>
      </c>
      <c r="Q838" s="54"/>
      <c r="R838" s="52"/>
      <c r="S838" s="1"/>
      <c r="T838" s="1"/>
      <c r="U838" s="1"/>
    </row>
    <row r="839" spans="1:21" ht="15.6" x14ac:dyDescent="0.3">
      <c r="A839" s="1"/>
      <c r="B839" s="3"/>
      <c r="C839" s="6">
        <v>46174</v>
      </c>
      <c r="D839" s="3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7">
        <v>0.96</v>
      </c>
      <c r="Q839" s="54"/>
      <c r="R839" s="52"/>
      <c r="S839" s="1"/>
      <c r="T839" s="1"/>
      <c r="U839" s="1"/>
    </row>
    <row r="840" spans="1:21" ht="42" x14ac:dyDescent="0.3">
      <c r="A840" s="1"/>
      <c r="B840" s="55" t="s">
        <v>3</v>
      </c>
      <c r="C840" s="55" t="s">
        <v>4</v>
      </c>
      <c r="D840" s="8" t="s">
        <v>5</v>
      </c>
      <c r="E840" s="8" t="s">
        <v>6</v>
      </c>
      <c r="F840" s="9" t="s">
        <v>7</v>
      </c>
      <c r="G840" s="9" t="s">
        <v>8</v>
      </c>
      <c r="H840" s="9" t="s">
        <v>9</v>
      </c>
      <c r="I840" s="10" t="s">
        <v>10</v>
      </c>
      <c r="J840" s="10" t="s">
        <v>11</v>
      </c>
      <c r="K840" s="11" t="s">
        <v>12</v>
      </c>
      <c r="L840" s="10" t="s">
        <v>13</v>
      </c>
      <c r="M840" s="11" t="s">
        <v>14</v>
      </c>
      <c r="N840" s="12" t="s">
        <v>15</v>
      </c>
      <c r="O840" s="57" t="s">
        <v>16</v>
      </c>
      <c r="P840" s="57" t="s">
        <v>17</v>
      </c>
      <c r="Q840" s="54"/>
      <c r="R840" s="52"/>
      <c r="S840" s="1"/>
      <c r="T840" s="1"/>
      <c r="U840" s="1"/>
    </row>
    <row r="841" spans="1:21" x14ac:dyDescent="0.3">
      <c r="A841" s="1"/>
      <c r="B841" s="56"/>
      <c r="C841" s="56"/>
      <c r="D841" s="13" t="s">
        <v>18</v>
      </c>
      <c r="E841" s="13" t="s">
        <v>18</v>
      </c>
      <c r="F841" s="13" t="s">
        <v>18</v>
      </c>
      <c r="G841" s="13" t="s">
        <v>18</v>
      </c>
      <c r="H841" s="13" t="s">
        <v>18</v>
      </c>
      <c r="I841" s="13" t="s">
        <v>18</v>
      </c>
      <c r="J841" s="13" t="s">
        <v>18</v>
      </c>
      <c r="K841" s="13" t="s">
        <v>18</v>
      </c>
      <c r="L841" s="13" t="s">
        <v>18</v>
      </c>
      <c r="M841" s="13" t="s">
        <v>18</v>
      </c>
      <c r="N841" s="14" t="s">
        <v>29</v>
      </c>
      <c r="O841" s="58"/>
      <c r="P841" s="58"/>
      <c r="Q841" s="54"/>
      <c r="R841" s="52"/>
      <c r="S841" s="1"/>
      <c r="T841" s="1"/>
      <c r="U841" s="1"/>
    </row>
    <row r="842" spans="1:21" x14ac:dyDescent="0.3">
      <c r="A842" s="1"/>
      <c r="B842" s="59" t="s">
        <v>20</v>
      </c>
      <c r="C842" s="60"/>
      <c r="D842" s="16">
        <v>0.1</v>
      </c>
      <c r="E842" s="16">
        <v>0.05</v>
      </c>
      <c r="F842" s="16">
        <v>0.1</v>
      </c>
      <c r="G842" s="16">
        <v>0.1</v>
      </c>
      <c r="H842" s="16">
        <v>0.05</v>
      </c>
      <c r="I842" s="17">
        <v>0.1</v>
      </c>
      <c r="J842" s="17">
        <v>0.35</v>
      </c>
      <c r="K842" s="17">
        <v>0.08</v>
      </c>
      <c r="L842" s="17">
        <v>0.02</v>
      </c>
      <c r="M842" s="17">
        <v>0.05</v>
      </c>
      <c r="N842" s="19">
        <v>1</v>
      </c>
      <c r="O842" s="20"/>
      <c r="P842" s="22"/>
      <c r="Q842" s="54"/>
      <c r="R842" s="52"/>
      <c r="S842" s="1"/>
      <c r="T842" s="1"/>
      <c r="U842" s="1"/>
    </row>
    <row r="843" spans="1:21" ht="18" x14ac:dyDescent="0.3">
      <c r="A843" s="1"/>
      <c r="B843" s="23">
        <v>1</v>
      </c>
      <c r="C843" s="24" t="s">
        <v>421</v>
      </c>
      <c r="D843" s="25">
        <v>1</v>
      </c>
      <c r="E843" s="25">
        <v>1</v>
      </c>
      <c r="F843" s="25">
        <v>1</v>
      </c>
      <c r="G843" s="25">
        <v>1</v>
      </c>
      <c r="H843" s="25">
        <v>1</v>
      </c>
      <c r="I843" s="25">
        <v>1</v>
      </c>
      <c r="J843" s="25">
        <v>1</v>
      </c>
      <c r="K843" s="25">
        <v>1</v>
      </c>
      <c r="L843" s="26">
        <v>0</v>
      </c>
      <c r="M843" s="26">
        <v>1</v>
      </c>
      <c r="N843" s="27">
        <v>0.98</v>
      </c>
      <c r="O843" s="28">
        <v>0</v>
      </c>
      <c r="P843" s="27">
        <v>0.98</v>
      </c>
      <c r="Q843" s="54"/>
      <c r="R843" s="52"/>
      <c r="S843" s="1"/>
      <c r="T843" s="1"/>
      <c r="U843" s="1"/>
    </row>
    <row r="844" spans="1:21" ht="18" x14ac:dyDescent="0.3">
      <c r="A844" s="1"/>
      <c r="B844" s="23">
        <v>2</v>
      </c>
      <c r="C844" s="24" t="s">
        <v>422</v>
      </c>
      <c r="D844" s="25">
        <v>0.98</v>
      </c>
      <c r="E844" s="25">
        <v>0.99</v>
      </c>
      <c r="F844" s="25">
        <v>1</v>
      </c>
      <c r="G844" s="25">
        <v>1</v>
      </c>
      <c r="H844" s="25">
        <v>1</v>
      </c>
      <c r="I844" s="25">
        <v>0.98399999999999999</v>
      </c>
      <c r="J844" s="25">
        <v>0.8</v>
      </c>
      <c r="K844" s="25">
        <v>1</v>
      </c>
      <c r="L844" s="26">
        <v>1</v>
      </c>
      <c r="M844" s="26">
        <v>1</v>
      </c>
      <c r="N844" s="27">
        <v>0.92589999999999995</v>
      </c>
      <c r="O844" s="28">
        <v>0</v>
      </c>
      <c r="P844" s="27">
        <v>0.92589999999999995</v>
      </c>
      <c r="Q844" s="54"/>
      <c r="R844" s="52"/>
      <c r="S844" s="1"/>
      <c r="T844" s="1"/>
      <c r="U844" s="1"/>
    </row>
    <row r="845" spans="1:21" ht="18" x14ac:dyDescent="0.3">
      <c r="A845" s="1"/>
      <c r="B845" s="23">
        <v>3</v>
      </c>
      <c r="C845" s="24" t="s">
        <v>423</v>
      </c>
      <c r="D845" s="25">
        <v>1</v>
      </c>
      <c r="E845" s="25">
        <v>1</v>
      </c>
      <c r="F845" s="25">
        <v>1</v>
      </c>
      <c r="G845" s="25">
        <v>1</v>
      </c>
      <c r="H845" s="25">
        <v>1</v>
      </c>
      <c r="I845" s="25">
        <v>0.99399999999999999</v>
      </c>
      <c r="J845" s="25">
        <v>1</v>
      </c>
      <c r="K845" s="25">
        <v>1</v>
      </c>
      <c r="L845" s="26">
        <v>0</v>
      </c>
      <c r="M845" s="26">
        <v>1</v>
      </c>
      <c r="N845" s="27">
        <v>0.97940000000000005</v>
      </c>
      <c r="O845" s="28">
        <v>0</v>
      </c>
      <c r="P845" s="27">
        <v>0.97940000000000005</v>
      </c>
      <c r="Q845" s="54"/>
      <c r="R845" s="52"/>
      <c r="S845" s="1"/>
      <c r="T845" s="1"/>
      <c r="U845" s="1"/>
    </row>
    <row r="846" spans="1:21" ht="18" x14ac:dyDescent="0.3">
      <c r="A846" s="1"/>
      <c r="B846" s="23">
        <v>4</v>
      </c>
      <c r="C846" s="24" t="s">
        <v>424</v>
      </c>
      <c r="D846" s="25">
        <v>1</v>
      </c>
      <c r="E846" s="25">
        <v>1</v>
      </c>
      <c r="F846" s="25">
        <v>1</v>
      </c>
      <c r="G846" s="25">
        <v>0.99550000000000005</v>
      </c>
      <c r="H846" s="25">
        <v>1</v>
      </c>
      <c r="I846" s="25">
        <v>1</v>
      </c>
      <c r="J846" s="25">
        <v>1</v>
      </c>
      <c r="K846" s="25">
        <v>1</v>
      </c>
      <c r="L846" s="26">
        <v>0</v>
      </c>
      <c r="M846" s="26">
        <v>1</v>
      </c>
      <c r="N846" s="27">
        <v>0.97960000000000003</v>
      </c>
      <c r="O846" s="28">
        <v>0</v>
      </c>
      <c r="P846" s="27">
        <v>0.97960000000000003</v>
      </c>
      <c r="Q846" s="54"/>
      <c r="R846" s="52"/>
      <c r="S846" s="1"/>
      <c r="T846" s="1"/>
      <c r="U846" s="1"/>
    </row>
    <row r="847" spans="1:21" ht="18" x14ac:dyDescent="0.3">
      <c r="A847" s="1"/>
      <c r="B847" s="23">
        <v>5</v>
      </c>
      <c r="C847" s="24" t="s">
        <v>425</v>
      </c>
      <c r="D847" s="25">
        <v>1</v>
      </c>
      <c r="E847" s="25">
        <v>1</v>
      </c>
      <c r="F847" s="25">
        <v>1</v>
      </c>
      <c r="G847" s="25">
        <v>1</v>
      </c>
      <c r="H847" s="25">
        <v>1</v>
      </c>
      <c r="I847" s="25">
        <v>0.99809999999999999</v>
      </c>
      <c r="J847" s="25">
        <v>0.8</v>
      </c>
      <c r="K847" s="25">
        <v>1</v>
      </c>
      <c r="L847" s="26">
        <v>1</v>
      </c>
      <c r="M847" s="26">
        <v>1</v>
      </c>
      <c r="N847" s="27">
        <v>0.92979999999999996</v>
      </c>
      <c r="O847" s="28">
        <v>0</v>
      </c>
      <c r="P847" s="27">
        <v>0.92979999999999996</v>
      </c>
      <c r="Q847" s="54"/>
      <c r="R847" s="52"/>
      <c r="S847" s="1"/>
      <c r="T847" s="1"/>
      <c r="U847" s="1"/>
    </row>
    <row r="848" spans="1:21" x14ac:dyDescent="0.3">
      <c r="A848" s="1"/>
      <c r="B848" s="59" t="s">
        <v>27</v>
      </c>
      <c r="C848" s="60"/>
      <c r="D848" s="31">
        <v>1</v>
      </c>
      <c r="E848" s="31">
        <v>1</v>
      </c>
      <c r="F848" s="31">
        <v>1</v>
      </c>
      <c r="G848" s="31">
        <v>1</v>
      </c>
      <c r="H848" s="31">
        <v>1</v>
      </c>
      <c r="I848" s="31">
        <v>1</v>
      </c>
      <c r="J848" s="31">
        <v>0.92</v>
      </c>
      <c r="K848" s="31">
        <v>1</v>
      </c>
      <c r="L848" s="31">
        <v>0.4</v>
      </c>
      <c r="M848" s="31">
        <v>1</v>
      </c>
      <c r="N848" s="31">
        <v>0.96</v>
      </c>
      <c r="O848" s="31">
        <v>0</v>
      </c>
      <c r="P848" s="31">
        <v>0.96</v>
      </c>
      <c r="Q848" s="54"/>
      <c r="R848" s="52"/>
      <c r="S848" s="1"/>
      <c r="T848" s="1"/>
      <c r="U848" s="1"/>
    </row>
    <row r="849" spans="1:2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52"/>
      <c r="R849" s="52"/>
      <c r="S849" s="1"/>
      <c r="T849" s="1"/>
      <c r="U849" s="1"/>
    </row>
    <row r="850" spans="1:2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52"/>
      <c r="R850" s="52"/>
      <c r="S850" s="1"/>
      <c r="T850" s="1"/>
      <c r="U850" s="1"/>
    </row>
    <row r="851" spans="1:21" ht="15.6" x14ac:dyDescent="0.3">
      <c r="A851" s="1"/>
      <c r="B851" s="3"/>
      <c r="C851" s="4" t="s">
        <v>426</v>
      </c>
      <c r="D851" s="3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5" t="s">
        <v>2</v>
      </c>
      <c r="Q851" s="54"/>
      <c r="R851" s="52"/>
      <c r="S851" s="1"/>
      <c r="T851" s="1"/>
      <c r="U851" s="1"/>
    </row>
    <row r="852" spans="1:21" ht="15.6" x14ac:dyDescent="0.3">
      <c r="A852" s="1"/>
      <c r="B852" s="3"/>
      <c r="C852" s="6">
        <v>46174</v>
      </c>
      <c r="D852" s="3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7">
        <v>0.94</v>
      </c>
      <c r="Q852" s="54"/>
      <c r="R852" s="52"/>
      <c r="S852" s="1"/>
      <c r="T852" s="1"/>
      <c r="U852" s="1"/>
    </row>
    <row r="853" spans="1:21" ht="42" x14ac:dyDescent="0.3">
      <c r="A853" s="1"/>
      <c r="B853" s="55" t="s">
        <v>3</v>
      </c>
      <c r="C853" s="55" t="s">
        <v>4</v>
      </c>
      <c r="D853" s="8" t="s">
        <v>5</v>
      </c>
      <c r="E853" s="8" t="s">
        <v>6</v>
      </c>
      <c r="F853" s="9" t="s">
        <v>7</v>
      </c>
      <c r="G853" s="9" t="s">
        <v>8</v>
      </c>
      <c r="H853" s="9" t="s">
        <v>9</v>
      </c>
      <c r="I853" s="10" t="s">
        <v>10</v>
      </c>
      <c r="J853" s="10" t="s">
        <v>11</v>
      </c>
      <c r="K853" s="11" t="s">
        <v>12</v>
      </c>
      <c r="L853" s="10" t="s">
        <v>13</v>
      </c>
      <c r="M853" s="11" t="s">
        <v>14</v>
      </c>
      <c r="N853" s="12" t="s">
        <v>15</v>
      </c>
      <c r="O853" s="57" t="s">
        <v>16</v>
      </c>
      <c r="P853" s="57" t="s">
        <v>17</v>
      </c>
      <c r="Q853" s="54"/>
      <c r="R853" s="52"/>
      <c r="S853" s="1"/>
      <c r="T853" s="1"/>
      <c r="U853" s="1"/>
    </row>
    <row r="854" spans="1:21" x14ac:dyDescent="0.3">
      <c r="A854" s="1"/>
      <c r="B854" s="56"/>
      <c r="C854" s="56"/>
      <c r="D854" s="13" t="s">
        <v>18</v>
      </c>
      <c r="E854" s="13" t="s">
        <v>18</v>
      </c>
      <c r="F854" s="13" t="s">
        <v>18</v>
      </c>
      <c r="G854" s="13" t="s">
        <v>18</v>
      </c>
      <c r="H854" s="13" t="s">
        <v>18</v>
      </c>
      <c r="I854" s="13" t="s">
        <v>18</v>
      </c>
      <c r="J854" s="13" t="s">
        <v>18</v>
      </c>
      <c r="K854" s="13" t="s">
        <v>18</v>
      </c>
      <c r="L854" s="13" t="s">
        <v>18</v>
      </c>
      <c r="M854" s="13" t="s">
        <v>18</v>
      </c>
      <c r="N854" s="14" t="s">
        <v>29</v>
      </c>
      <c r="O854" s="58"/>
      <c r="P854" s="58"/>
      <c r="Q854" s="54"/>
      <c r="R854" s="52"/>
      <c r="S854" s="1"/>
      <c r="T854" s="1"/>
      <c r="U854" s="1"/>
    </row>
    <row r="855" spans="1:21" x14ac:dyDescent="0.3">
      <c r="A855" s="1"/>
      <c r="B855" s="59" t="s">
        <v>20</v>
      </c>
      <c r="C855" s="60"/>
      <c r="D855" s="16">
        <v>0.1</v>
      </c>
      <c r="E855" s="16">
        <v>0.05</v>
      </c>
      <c r="F855" s="16">
        <v>0.1</v>
      </c>
      <c r="G855" s="16">
        <v>0.1</v>
      </c>
      <c r="H855" s="16">
        <v>0.05</v>
      </c>
      <c r="I855" s="17">
        <v>0.1</v>
      </c>
      <c r="J855" s="17">
        <v>0.35</v>
      </c>
      <c r="K855" s="17">
        <v>0.08</v>
      </c>
      <c r="L855" s="17">
        <v>0.02</v>
      </c>
      <c r="M855" s="17">
        <v>0.05</v>
      </c>
      <c r="N855" s="19">
        <v>1</v>
      </c>
      <c r="O855" s="20"/>
      <c r="P855" s="22"/>
      <c r="Q855" s="54"/>
      <c r="R855" s="52"/>
      <c r="S855" s="1"/>
      <c r="T855" s="1"/>
      <c r="U855" s="1"/>
    </row>
    <row r="856" spans="1:21" ht="18" x14ac:dyDescent="0.3">
      <c r="A856" s="1"/>
      <c r="B856" s="23">
        <v>1</v>
      </c>
      <c r="C856" s="24" t="s">
        <v>427</v>
      </c>
      <c r="D856" s="25">
        <v>1</v>
      </c>
      <c r="E856" s="25">
        <v>1</v>
      </c>
      <c r="F856" s="25">
        <v>1</v>
      </c>
      <c r="G856" s="25">
        <v>1</v>
      </c>
      <c r="H856" s="25">
        <v>1</v>
      </c>
      <c r="I856" s="25">
        <v>0.99739999999999995</v>
      </c>
      <c r="J856" s="25">
        <v>0.8</v>
      </c>
      <c r="K856" s="25">
        <v>0.5</v>
      </c>
      <c r="L856" s="26">
        <v>0</v>
      </c>
      <c r="M856" s="26">
        <v>0.75</v>
      </c>
      <c r="N856" s="27">
        <v>0.85719999999999996</v>
      </c>
      <c r="O856" s="28">
        <v>0</v>
      </c>
      <c r="P856" s="27">
        <v>0.85719999999999996</v>
      </c>
      <c r="Q856" s="54"/>
      <c r="R856" s="52"/>
      <c r="S856" s="1"/>
      <c r="T856" s="1"/>
      <c r="U856" s="1"/>
    </row>
    <row r="857" spans="1:21" ht="18" x14ac:dyDescent="0.3">
      <c r="A857" s="1"/>
      <c r="B857" s="23">
        <v>2</v>
      </c>
      <c r="C857" s="24" t="s">
        <v>428</v>
      </c>
      <c r="D857" s="25">
        <v>0.98</v>
      </c>
      <c r="E857" s="25">
        <v>1</v>
      </c>
      <c r="F857" s="25">
        <v>0.98160000000000003</v>
      </c>
      <c r="G857" s="25">
        <v>0.97070000000000001</v>
      </c>
      <c r="H857" s="25">
        <v>1</v>
      </c>
      <c r="I857" s="25">
        <v>0.99399999999999999</v>
      </c>
      <c r="J857" s="25">
        <v>1</v>
      </c>
      <c r="K857" s="25">
        <v>1</v>
      </c>
      <c r="L857" s="26">
        <v>0</v>
      </c>
      <c r="M857" s="26">
        <v>0.5</v>
      </c>
      <c r="N857" s="27">
        <v>0.9476</v>
      </c>
      <c r="O857" s="28">
        <v>0</v>
      </c>
      <c r="P857" s="27">
        <v>0.9476</v>
      </c>
      <c r="Q857" s="54"/>
      <c r="R857" s="52"/>
      <c r="S857" s="1"/>
      <c r="T857" s="1"/>
      <c r="U857" s="1"/>
    </row>
    <row r="858" spans="1:21" ht="18" x14ac:dyDescent="0.3">
      <c r="A858" s="1"/>
      <c r="B858" s="23">
        <v>3</v>
      </c>
      <c r="C858" s="24" t="s">
        <v>429</v>
      </c>
      <c r="D858" s="25">
        <v>1</v>
      </c>
      <c r="E858" s="25">
        <v>1</v>
      </c>
      <c r="F858" s="25">
        <v>1</v>
      </c>
      <c r="G858" s="25">
        <v>1</v>
      </c>
      <c r="H858" s="25">
        <v>1</v>
      </c>
      <c r="I858" s="25">
        <v>0.96150000000000002</v>
      </c>
      <c r="J858" s="25">
        <v>1</v>
      </c>
      <c r="K858" s="25">
        <v>1</v>
      </c>
      <c r="L858" s="26">
        <v>1</v>
      </c>
      <c r="M858" s="26">
        <v>1</v>
      </c>
      <c r="N858" s="27">
        <v>0.99609999999999999</v>
      </c>
      <c r="O858" s="28">
        <v>0</v>
      </c>
      <c r="P858" s="27">
        <v>0.99609999999999999</v>
      </c>
      <c r="Q858" s="54"/>
      <c r="R858" s="52"/>
      <c r="S858" s="1"/>
      <c r="T858" s="1"/>
      <c r="U858" s="1"/>
    </row>
    <row r="859" spans="1:21" ht="18" x14ac:dyDescent="0.3">
      <c r="A859" s="1"/>
      <c r="B859" s="23">
        <v>4</v>
      </c>
      <c r="C859" s="24" t="s">
        <v>430</v>
      </c>
      <c r="D859" s="25">
        <v>1</v>
      </c>
      <c r="E859" s="25">
        <v>1</v>
      </c>
      <c r="F859" s="25">
        <v>1</v>
      </c>
      <c r="G859" s="25">
        <v>1</v>
      </c>
      <c r="H859" s="25">
        <v>1</v>
      </c>
      <c r="I859" s="25">
        <v>1</v>
      </c>
      <c r="J859" s="25">
        <v>1</v>
      </c>
      <c r="K859" s="25">
        <v>1</v>
      </c>
      <c r="L859" s="26">
        <v>0</v>
      </c>
      <c r="M859" s="26">
        <v>1</v>
      </c>
      <c r="N859" s="27">
        <v>0.98</v>
      </c>
      <c r="O859" s="28">
        <v>0</v>
      </c>
      <c r="P859" s="27">
        <v>0.98</v>
      </c>
      <c r="Q859" s="54"/>
      <c r="R859" s="52"/>
      <c r="S859" s="1"/>
      <c r="T859" s="1"/>
      <c r="U859" s="1"/>
    </row>
    <row r="860" spans="1:21" ht="18" x14ac:dyDescent="0.3">
      <c r="A860" s="1"/>
      <c r="B860" s="23">
        <v>5</v>
      </c>
      <c r="C860" s="24" t="s">
        <v>431</v>
      </c>
      <c r="D860" s="25">
        <v>1</v>
      </c>
      <c r="E860" s="25">
        <v>1</v>
      </c>
      <c r="F860" s="25">
        <v>1</v>
      </c>
      <c r="G860" s="25">
        <v>1</v>
      </c>
      <c r="H860" s="25">
        <v>1</v>
      </c>
      <c r="I860" s="25">
        <v>0.98609999999999998</v>
      </c>
      <c r="J860" s="25">
        <v>0.8</v>
      </c>
      <c r="K860" s="25">
        <v>1</v>
      </c>
      <c r="L860" s="26">
        <v>0</v>
      </c>
      <c r="M860" s="26">
        <v>1</v>
      </c>
      <c r="N860" s="27">
        <v>0.90859999999999996</v>
      </c>
      <c r="O860" s="28">
        <v>0</v>
      </c>
      <c r="P860" s="27">
        <v>0.90859999999999996</v>
      </c>
      <c r="Q860" s="54"/>
      <c r="R860" s="52"/>
      <c r="S860" s="1"/>
      <c r="T860" s="1"/>
      <c r="U860" s="1"/>
    </row>
    <row r="861" spans="1:21" x14ac:dyDescent="0.3">
      <c r="A861" s="1"/>
      <c r="B861" s="59" t="s">
        <v>27</v>
      </c>
      <c r="C861" s="60"/>
      <c r="D861" s="31">
        <v>1</v>
      </c>
      <c r="E861" s="31">
        <v>1</v>
      </c>
      <c r="F861" s="31">
        <v>1</v>
      </c>
      <c r="G861" s="31">
        <v>0.99</v>
      </c>
      <c r="H861" s="31">
        <v>1</v>
      </c>
      <c r="I861" s="31">
        <v>0.99</v>
      </c>
      <c r="J861" s="31">
        <v>0.92</v>
      </c>
      <c r="K861" s="31">
        <v>0.9</v>
      </c>
      <c r="L861" s="31">
        <v>0.2</v>
      </c>
      <c r="M861" s="31">
        <v>0.85</v>
      </c>
      <c r="N861" s="31">
        <v>0.94</v>
      </c>
      <c r="O861" s="31">
        <v>0</v>
      </c>
      <c r="P861" s="31">
        <v>0.94</v>
      </c>
      <c r="Q861" s="54"/>
      <c r="R861" s="52"/>
      <c r="S861" s="1"/>
      <c r="T861" s="1"/>
      <c r="U861" s="1"/>
    </row>
    <row r="862" spans="1:21" x14ac:dyDescent="0.3">
      <c r="A862" s="1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45"/>
      <c r="Q862" s="54"/>
      <c r="R862" s="52"/>
      <c r="S862" s="1"/>
      <c r="T862" s="1"/>
      <c r="U862" s="1"/>
    </row>
    <row r="863" spans="1:21" x14ac:dyDescent="0.3">
      <c r="A863" s="1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45"/>
      <c r="Q863" s="54"/>
      <c r="R863" s="52"/>
      <c r="S863" s="1"/>
      <c r="T863" s="1"/>
      <c r="U863" s="1"/>
    </row>
    <row r="864" spans="1:21" ht="15.6" x14ac:dyDescent="0.3">
      <c r="A864" s="1"/>
      <c r="B864" s="3"/>
      <c r="C864" s="4" t="s">
        <v>432</v>
      </c>
      <c r="D864" s="3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5" t="s">
        <v>2</v>
      </c>
      <c r="Q864" s="54"/>
      <c r="R864" s="52"/>
      <c r="S864" s="1"/>
      <c r="T864" s="1"/>
      <c r="U864" s="1"/>
    </row>
    <row r="865" spans="1:21" ht="15.6" x14ac:dyDescent="0.3">
      <c r="A865" s="1"/>
      <c r="B865" s="3"/>
      <c r="C865" s="6">
        <v>46174</v>
      </c>
      <c r="D865" s="3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7">
        <v>0.86</v>
      </c>
      <c r="Q865" s="54"/>
      <c r="R865" s="52"/>
      <c r="S865" s="1"/>
      <c r="T865" s="1"/>
      <c r="U865" s="1"/>
    </row>
    <row r="866" spans="1:21" ht="42" x14ac:dyDescent="0.3">
      <c r="A866" s="1"/>
      <c r="B866" s="55" t="s">
        <v>3</v>
      </c>
      <c r="C866" s="55" t="s">
        <v>4</v>
      </c>
      <c r="D866" s="8" t="s">
        <v>5</v>
      </c>
      <c r="E866" s="8" t="s">
        <v>6</v>
      </c>
      <c r="F866" s="9" t="s">
        <v>7</v>
      </c>
      <c r="G866" s="9" t="s">
        <v>8</v>
      </c>
      <c r="H866" s="9" t="s">
        <v>9</v>
      </c>
      <c r="I866" s="10" t="s">
        <v>10</v>
      </c>
      <c r="J866" s="10" t="s">
        <v>11</v>
      </c>
      <c r="K866" s="11" t="s">
        <v>12</v>
      </c>
      <c r="L866" s="10" t="s">
        <v>13</v>
      </c>
      <c r="M866" s="11" t="s">
        <v>14</v>
      </c>
      <c r="N866" s="12" t="s">
        <v>15</v>
      </c>
      <c r="O866" s="57" t="s">
        <v>16</v>
      </c>
      <c r="P866" s="57" t="s">
        <v>17</v>
      </c>
      <c r="Q866" s="54"/>
      <c r="R866" s="52"/>
      <c r="S866" s="1"/>
      <c r="T866" s="1"/>
      <c r="U866" s="1"/>
    </row>
    <row r="867" spans="1:21" x14ac:dyDescent="0.3">
      <c r="A867" s="1"/>
      <c r="B867" s="56"/>
      <c r="C867" s="56"/>
      <c r="D867" s="13" t="s">
        <v>18</v>
      </c>
      <c r="E867" s="13" t="s">
        <v>18</v>
      </c>
      <c r="F867" s="13" t="s">
        <v>18</v>
      </c>
      <c r="G867" s="13" t="s">
        <v>18</v>
      </c>
      <c r="H867" s="13" t="s">
        <v>18</v>
      </c>
      <c r="I867" s="13" t="s">
        <v>18</v>
      </c>
      <c r="J867" s="13" t="s">
        <v>18</v>
      </c>
      <c r="K867" s="13" t="s">
        <v>18</v>
      </c>
      <c r="L867" s="13" t="s">
        <v>18</v>
      </c>
      <c r="M867" s="13" t="s">
        <v>18</v>
      </c>
      <c r="N867" s="14" t="s">
        <v>29</v>
      </c>
      <c r="O867" s="58"/>
      <c r="P867" s="58"/>
      <c r="Q867" s="54"/>
      <c r="R867" s="52"/>
      <c r="S867" s="1"/>
      <c r="T867" s="1"/>
      <c r="U867" s="1"/>
    </row>
    <row r="868" spans="1:21" x14ac:dyDescent="0.3">
      <c r="A868" s="1"/>
      <c r="B868" s="59" t="s">
        <v>20</v>
      </c>
      <c r="C868" s="60"/>
      <c r="D868" s="16">
        <v>0.1</v>
      </c>
      <c r="E868" s="16">
        <v>0.05</v>
      </c>
      <c r="F868" s="16">
        <v>0.1</v>
      </c>
      <c r="G868" s="16">
        <v>0.1</v>
      </c>
      <c r="H868" s="16">
        <v>0.05</v>
      </c>
      <c r="I868" s="17">
        <v>0.1</v>
      </c>
      <c r="J868" s="17">
        <v>0.35</v>
      </c>
      <c r="K868" s="17">
        <v>0.08</v>
      </c>
      <c r="L868" s="17">
        <v>0.02</v>
      </c>
      <c r="M868" s="17">
        <v>0.05</v>
      </c>
      <c r="N868" s="19">
        <v>1</v>
      </c>
      <c r="O868" s="20"/>
      <c r="P868" s="22"/>
      <c r="Q868" s="54"/>
      <c r="R868" s="52"/>
      <c r="S868" s="1"/>
      <c r="T868" s="1"/>
      <c r="U868" s="1"/>
    </row>
    <row r="869" spans="1:21" ht="18" x14ac:dyDescent="0.3">
      <c r="A869" s="1"/>
      <c r="B869" s="23">
        <v>1</v>
      </c>
      <c r="C869" s="24" t="s">
        <v>433</v>
      </c>
      <c r="D869" s="25">
        <v>1</v>
      </c>
      <c r="E869" s="25">
        <v>1</v>
      </c>
      <c r="F869" s="25">
        <v>1</v>
      </c>
      <c r="G869" s="25">
        <v>1</v>
      </c>
      <c r="H869" s="25">
        <v>1</v>
      </c>
      <c r="I869" s="25">
        <v>0.97560000000000002</v>
      </c>
      <c r="J869" s="25">
        <v>0.8</v>
      </c>
      <c r="K869" s="25">
        <v>0.5</v>
      </c>
      <c r="L869" s="26">
        <v>0</v>
      </c>
      <c r="M869" s="26">
        <v>1</v>
      </c>
      <c r="N869" s="27">
        <v>0.86760000000000004</v>
      </c>
      <c r="O869" s="28">
        <v>0</v>
      </c>
      <c r="P869" s="27">
        <v>0.86760000000000004</v>
      </c>
      <c r="Q869" s="54"/>
      <c r="R869" s="52"/>
      <c r="S869" s="1"/>
      <c r="T869" s="1"/>
      <c r="U869" s="1"/>
    </row>
    <row r="870" spans="1:21" ht="18" x14ac:dyDescent="0.3">
      <c r="A870" s="1"/>
      <c r="B870" s="23">
        <v>2</v>
      </c>
      <c r="C870" s="24" t="s">
        <v>434</v>
      </c>
      <c r="D870" s="25">
        <v>1</v>
      </c>
      <c r="E870" s="25">
        <v>1</v>
      </c>
      <c r="F870" s="25">
        <v>1</v>
      </c>
      <c r="G870" s="25">
        <v>0.96260000000000001</v>
      </c>
      <c r="H870" s="25">
        <v>1</v>
      </c>
      <c r="I870" s="25">
        <v>0.95</v>
      </c>
      <c r="J870" s="25">
        <v>0.8</v>
      </c>
      <c r="K870" s="25">
        <v>0</v>
      </c>
      <c r="L870" s="26">
        <v>0</v>
      </c>
      <c r="M870" s="26">
        <v>0.5</v>
      </c>
      <c r="N870" s="27">
        <v>0.79630000000000001</v>
      </c>
      <c r="O870" s="28">
        <v>0</v>
      </c>
      <c r="P870" s="27">
        <v>0.79630000000000001</v>
      </c>
      <c r="Q870" s="54"/>
      <c r="R870" s="52"/>
      <c r="S870" s="1"/>
      <c r="T870" s="1"/>
      <c r="U870" s="1"/>
    </row>
    <row r="871" spans="1:21" ht="18" x14ac:dyDescent="0.3">
      <c r="A871" s="1"/>
      <c r="B871" s="23">
        <v>3</v>
      </c>
      <c r="C871" s="24" t="s">
        <v>435</v>
      </c>
      <c r="D871" s="25">
        <v>0.98</v>
      </c>
      <c r="E871" s="25">
        <v>1</v>
      </c>
      <c r="F871" s="25">
        <v>1</v>
      </c>
      <c r="G871" s="25">
        <v>1</v>
      </c>
      <c r="H871" s="25">
        <v>1</v>
      </c>
      <c r="I871" s="25">
        <v>0.99229999999999996</v>
      </c>
      <c r="J871" s="25">
        <v>1</v>
      </c>
      <c r="K871" s="25">
        <v>0.5</v>
      </c>
      <c r="L871" s="26">
        <v>0</v>
      </c>
      <c r="M871" s="26">
        <v>0.5</v>
      </c>
      <c r="N871" s="27">
        <v>0.91220000000000001</v>
      </c>
      <c r="O871" s="28">
        <v>0</v>
      </c>
      <c r="P871" s="27">
        <v>0.91220000000000001</v>
      </c>
      <c r="Q871" s="54"/>
      <c r="R871" s="52"/>
      <c r="S871" s="1"/>
      <c r="T871" s="1"/>
      <c r="U871" s="1"/>
    </row>
    <row r="872" spans="1:21" ht="18" x14ac:dyDescent="0.3">
      <c r="A872" s="1"/>
      <c r="B872" s="23">
        <v>4</v>
      </c>
      <c r="C872" s="24" t="s">
        <v>436</v>
      </c>
      <c r="D872" s="25">
        <v>0.9</v>
      </c>
      <c r="E872" s="25">
        <v>0.99</v>
      </c>
      <c r="F872" s="25">
        <v>0.89570000000000005</v>
      </c>
      <c r="G872" s="25">
        <v>0.83930000000000005</v>
      </c>
      <c r="H872" s="25">
        <v>0</v>
      </c>
      <c r="I872" s="25">
        <v>1</v>
      </c>
      <c r="J872" s="25">
        <v>1</v>
      </c>
      <c r="K872" s="25">
        <v>1</v>
      </c>
      <c r="L872" s="26">
        <v>0</v>
      </c>
      <c r="M872" s="26">
        <v>1</v>
      </c>
      <c r="N872" s="27">
        <v>0.89300000000000002</v>
      </c>
      <c r="O872" s="28">
        <v>0</v>
      </c>
      <c r="P872" s="27">
        <v>0.89300000000000002</v>
      </c>
      <c r="Q872" s="54"/>
      <c r="R872" s="52"/>
      <c r="S872" s="1"/>
      <c r="T872" s="1"/>
      <c r="U872" s="1"/>
    </row>
    <row r="873" spans="1:21" ht="18" x14ac:dyDescent="0.3">
      <c r="A873" s="1"/>
      <c r="B873" s="23">
        <v>5</v>
      </c>
      <c r="C873" s="24" t="s">
        <v>437</v>
      </c>
      <c r="D873" s="25">
        <v>1</v>
      </c>
      <c r="E873" s="25">
        <v>1</v>
      </c>
      <c r="F873" s="25">
        <v>1</v>
      </c>
      <c r="G873" s="25">
        <v>0.97970000000000002</v>
      </c>
      <c r="H873" s="25">
        <v>1</v>
      </c>
      <c r="I873" s="25">
        <v>0.94630000000000003</v>
      </c>
      <c r="J873" s="25">
        <v>0.8</v>
      </c>
      <c r="K873" s="25">
        <v>0</v>
      </c>
      <c r="L873" s="26">
        <v>0</v>
      </c>
      <c r="M873" s="26">
        <v>0.5</v>
      </c>
      <c r="N873" s="27">
        <v>0.79759999999999998</v>
      </c>
      <c r="O873" s="28">
        <v>0</v>
      </c>
      <c r="P873" s="27">
        <v>0.79759999999999998</v>
      </c>
      <c r="Q873" s="54"/>
      <c r="R873" s="52"/>
      <c r="S873" s="1"/>
      <c r="T873" s="1"/>
      <c r="U873" s="1"/>
    </row>
    <row r="874" spans="1:21" ht="18" x14ac:dyDescent="0.3">
      <c r="A874" s="1"/>
      <c r="B874" s="23">
        <v>6</v>
      </c>
      <c r="C874" s="24" t="s">
        <v>438</v>
      </c>
      <c r="D874" s="25">
        <v>1</v>
      </c>
      <c r="E874" s="25">
        <v>0.99</v>
      </c>
      <c r="F874" s="25">
        <v>1</v>
      </c>
      <c r="G874" s="25">
        <v>0.79579999999999995</v>
      </c>
      <c r="H874" s="25">
        <v>0</v>
      </c>
      <c r="I874" s="25">
        <v>0.9889</v>
      </c>
      <c r="J874" s="25">
        <v>1</v>
      </c>
      <c r="K874" s="25">
        <v>0.5</v>
      </c>
      <c r="L874" s="26">
        <v>0</v>
      </c>
      <c r="M874" s="26">
        <v>1</v>
      </c>
      <c r="N874" s="27">
        <v>0.86799999999999999</v>
      </c>
      <c r="O874" s="28">
        <v>0</v>
      </c>
      <c r="P874" s="27">
        <v>0.86799999999999999</v>
      </c>
      <c r="Q874" s="54"/>
      <c r="R874" s="52"/>
      <c r="S874" s="1"/>
      <c r="T874" s="1"/>
      <c r="U874" s="1"/>
    </row>
    <row r="875" spans="1:21" x14ac:dyDescent="0.3">
      <c r="A875" s="1"/>
      <c r="B875" s="59" t="s">
        <v>27</v>
      </c>
      <c r="C875" s="60"/>
      <c r="D875" s="31">
        <v>0.98</v>
      </c>
      <c r="E875" s="31">
        <v>1</v>
      </c>
      <c r="F875" s="31">
        <v>0.98</v>
      </c>
      <c r="G875" s="31">
        <v>0.93</v>
      </c>
      <c r="H875" s="31">
        <v>0.67</v>
      </c>
      <c r="I875" s="31">
        <v>0.98</v>
      </c>
      <c r="J875" s="31">
        <v>0.9</v>
      </c>
      <c r="K875" s="31">
        <v>0.42</v>
      </c>
      <c r="L875" s="31">
        <v>0</v>
      </c>
      <c r="M875" s="31">
        <v>0.75</v>
      </c>
      <c r="N875" s="31">
        <v>0.86</v>
      </c>
      <c r="O875" s="31">
        <v>0</v>
      </c>
      <c r="P875" s="31">
        <v>0.86</v>
      </c>
      <c r="Q875" s="54"/>
      <c r="R875" s="52"/>
      <c r="S875" s="1"/>
      <c r="T875" s="1"/>
      <c r="U875" s="1"/>
    </row>
    <row r="876" spans="1:2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52"/>
      <c r="R876" s="52"/>
      <c r="S876" s="1"/>
      <c r="T876" s="1"/>
      <c r="U876" s="1"/>
    </row>
    <row r="877" spans="1:2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52"/>
      <c r="R877" s="52"/>
      <c r="S877" s="1"/>
      <c r="T877" s="1"/>
      <c r="U877" s="1"/>
    </row>
    <row r="878" spans="1:21" ht="15.6" x14ac:dyDescent="0.3">
      <c r="A878" s="1"/>
      <c r="B878" s="3"/>
      <c r="C878" s="4" t="s">
        <v>439</v>
      </c>
      <c r="D878" s="3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5" t="s">
        <v>2</v>
      </c>
      <c r="Q878" s="54"/>
      <c r="R878" s="52"/>
      <c r="S878" s="1"/>
      <c r="T878" s="1"/>
      <c r="U878" s="1"/>
    </row>
    <row r="879" spans="1:21" ht="15.6" x14ac:dyDescent="0.3">
      <c r="A879" s="1"/>
      <c r="B879" s="3"/>
      <c r="C879" s="6">
        <v>46174</v>
      </c>
      <c r="D879" s="3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7">
        <v>0.92</v>
      </c>
      <c r="Q879" s="54"/>
      <c r="R879" s="52"/>
      <c r="S879" s="1"/>
      <c r="T879" s="1"/>
      <c r="U879" s="1"/>
    </row>
    <row r="880" spans="1:21" ht="42" x14ac:dyDescent="0.3">
      <c r="A880" s="1"/>
      <c r="B880" s="55" t="s">
        <v>3</v>
      </c>
      <c r="C880" s="55" t="s">
        <v>4</v>
      </c>
      <c r="D880" s="8" t="s">
        <v>5</v>
      </c>
      <c r="E880" s="8" t="s">
        <v>6</v>
      </c>
      <c r="F880" s="9" t="s">
        <v>7</v>
      </c>
      <c r="G880" s="9" t="s">
        <v>8</v>
      </c>
      <c r="H880" s="9" t="s">
        <v>9</v>
      </c>
      <c r="I880" s="10" t="s">
        <v>10</v>
      </c>
      <c r="J880" s="10" t="s">
        <v>11</v>
      </c>
      <c r="K880" s="11" t="s">
        <v>12</v>
      </c>
      <c r="L880" s="10" t="s">
        <v>13</v>
      </c>
      <c r="M880" s="11" t="s">
        <v>14</v>
      </c>
      <c r="N880" s="12" t="s">
        <v>15</v>
      </c>
      <c r="O880" s="57" t="s">
        <v>16</v>
      </c>
      <c r="P880" s="57" t="s">
        <v>17</v>
      </c>
      <c r="Q880" s="54"/>
      <c r="R880" s="52"/>
      <c r="S880" s="1"/>
      <c r="T880" s="1"/>
      <c r="U880" s="1"/>
    </row>
    <row r="881" spans="1:21" x14ac:dyDescent="0.3">
      <c r="A881" s="1"/>
      <c r="B881" s="56"/>
      <c r="C881" s="56"/>
      <c r="D881" s="13" t="s">
        <v>18</v>
      </c>
      <c r="E881" s="13" t="s">
        <v>18</v>
      </c>
      <c r="F881" s="13" t="s">
        <v>18</v>
      </c>
      <c r="G881" s="13" t="s">
        <v>18</v>
      </c>
      <c r="H881" s="13" t="s">
        <v>18</v>
      </c>
      <c r="I881" s="13" t="s">
        <v>18</v>
      </c>
      <c r="J881" s="13" t="s">
        <v>18</v>
      </c>
      <c r="K881" s="13" t="s">
        <v>18</v>
      </c>
      <c r="L881" s="13" t="s">
        <v>18</v>
      </c>
      <c r="M881" s="13" t="s">
        <v>18</v>
      </c>
      <c r="N881" s="14" t="s">
        <v>29</v>
      </c>
      <c r="O881" s="58"/>
      <c r="P881" s="58"/>
      <c r="Q881" s="54"/>
      <c r="R881" s="52"/>
      <c r="S881" s="1"/>
      <c r="T881" s="1"/>
      <c r="U881" s="1"/>
    </row>
    <row r="882" spans="1:21" x14ac:dyDescent="0.3">
      <c r="A882" s="1"/>
      <c r="B882" s="59" t="s">
        <v>20</v>
      </c>
      <c r="C882" s="60"/>
      <c r="D882" s="16">
        <v>0.1</v>
      </c>
      <c r="E882" s="16">
        <v>0.05</v>
      </c>
      <c r="F882" s="16">
        <v>0.1</v>
      </c>
      <c r="G882" s="16">
        <v>0.1</v>
      </c>
      <c r="H882" s="16">
        <v>0.05</v>
      </c>
      <c r="I882" s="17">
        <v>0.1</v>
      </c>
      <c r="J882" s="17">
        <v>0.35</v>
      </c>
      <c r="K882" s="17">
        <v>0.08</v>
      </c>
      <c r="L882" s="17">
        <v>0.02</v>
      </c>
      <c r="M882" s="17">
        <v>0.05</v>
      </c>
      <c r="N882" s="19">
        <v>1</v>
      </c>
      <c r="O882" s="20"/>
      <c r="P882" s="22"/>
      <c r="Q882" s="54"/>
      <c r="R882" s="52"/>
      <c r="S882" s="1"/>
      <c r="T882" s="1"/>
      <c r="U882" s="1"/>
    </row>
    <row r="883" spans="1:21" ht="18" x14ac:dyDescent="0.3">
      <c r="A883" s="1"/>
      <c r="B883" s="23">
        <v>1</v>
      </c>
      <c r="C883" s="24" t="s">
        <v>440</v>
      </c>
      <c r="D883" s="25">
        <v>0.98</v>
      </c>
      <c r="E883" s="25">
        <v>1</v>
      </c>
      <c r="F883" s="25">
        <v>1</v>
      </c>
      <c r="G883" s="25">
        <v>1</v>
      </c>
      <c r="H883" s="25">
        <v>1</v>
      </c>
      <c r="I883" s="25">
        <v>1</v>
      </c>
      <c r="J883" s="25">
        <v>0.8</v>
      </c>
      <c r="K883" s="25">
        <v>0</v>
      </c>
      <c r="L883" s="26">
        <v>0</v>
      </c>
      <c r="M883" s="26">
        <v>1</v>
      </c>
      <c r="N883" s="27">
        <v>0.82799999999999996</v>
      </c>
      <c r="O883" s="28">
        <v>0</v>
      </c>
      <c r="P883" s="27">
        <v>0.82799999999999996</v>
      </c>
      <c r="Q883" s="54"/>
      <c r="R883" s="52"/>
      <c r="S883" s="1"/>
      <c r="T883" s="1"/>
      <c r="U883" s="1"/>
    </row>
    <row r="884" spans="1:21" ht="18" x14ac:dyDescent="0.3">
      <c r="A884" s="1"/>
      <c r="B884" s="23">
        <v>2</v>
      </c>
      <c r="C884" s="24" t="s">
        <v>441</v>
      </c>
      <c r="D884" s="25">
        <v>0.98</v>
      </c>
      <c r="E884" s="25">
        <v>0.99</v>
      </c>
      <c r="F884" s="25">
        <v>1</v>
      </c>
      <c r="G884" s="25">
        <v>1</v>
      </c>
      <c r="H884" s="25">
        <v>1</v>
      </c>
      <c r="I884" s="25">
        <v>1</v>
      </c>
      <c r="J884" s="25">
        <v>1</v>
      </c>
      <c r="K884" s="25">
        <v>1</v>
      </c>
      <c r="L884" s="26">
        <v>0</v>
      </c>
      <c r="M884" s="26">
        <v>0.5</v>
      </c>
      <c r="N884" s="27">
        <v>0.95250000000000001</v>
      </c>
      <c r="O884" s="28">
        <v>0</v>
      </c>
      <c r="P884" s="27">
        <v>0.95250000000000001</v>
      </c>
      <c r="Q884" s="54"/>
      <c r="R884" s="52"/>
      <c r="S884" s="1"/>
      <c r="T884" s="1"/>
      <c r="U884" s="1"/>
    </row>
    <row r="885" spans="1:21" ht="18" x14ac:dyDescent="0.3">
      <c r="A885" s="1"/>
      <c r="B885" s="23">
        <v>3</v>
      </c>
      <c r="C885" s="24" t="s">
        <v>442</v>
      </c>
      <c r="D885" s="25">
        <v>1</v>
      </c>
      <c r="E885" s="25">
        <v>1</v>
      </c>
      <c r="F885" s="25">
        <v>1</v>
      </c>
      <c r="G885" s="25">
        <v>1</v>
      </c>
      <c r="H885" s="25">
        <v>1</v>
      </c>
      <c r="I885" s="25">
        <v>0.98629999999999995</v>
      </c>
      <c r="J885" s="25">
        <v>0.8</v>
      </c>
      <c r="K885" s="25">
        <v>1</v>
      </c>
      <c r="L885" s="26">
        <v>1</v>
      </c>
      <c r="M885" s="26">
        <v>0.5</v>
      </c>
      <c r="N885" s="27">
        <v>0.90359999999999996</v>
      </c>
      <c r="O885" s="28">
        <v>0</v>
      </c>
      <c r="P885" s="27">
        <v>0.90359999999999996</v>
      </c>
      <c r="Q885" s="54"/>
      <c r="R885" s="52"/>
      <c r="S885" s="1"/>
      <c r="T885" s="1"/>
      <c r="U885" s="1"/>
    </row>
    <row r="886" spans="1:21" ht="18" x14ac:dyDescent="0.3">
      <c r="A886" s="1"/>
      <c r="B886" s="23">
        <v>4</v>
      </c>
      <c r="C886" s="24" t="s">
        <v>443</v>
      </c>
      <c r="D886" s="25">
        <v>1</v>
      </c>
      <c r="E886" s="25">
        <v>1</v>
      </c>
      <c r="F886" s="25">
        <v>1</v>
      </c>
      <c r="G886" s="25">
        <v>1</v>
      </c>
      <c r="H886" s="25">
        <v>1</v>
      </c>
      <c r="I886" s="25">
        <v>1</v>
      </c>
      <c r="J886" s="25">
        <v>1</v>
      </c>
      <c r="K886" s="25">
        <v>1</v>
      </c>
      <c r="L886" s="26">
        <v>0</v>
      </c>
      <c r="M886" s="26">
        <v>1</v>
      </c>
      <c r="N886" s="27">
        <v>0.98</v>
      </c>
      <c r="O886" s="28">
        <v>0</v>
      </c>
      <c r="P886" s="27">
        <v>0.98</v>
      </c>
      <c r="Q886" s="54"/>
      <c r="R886" s="52"/>
      <c r="S886" s="1"/>
      <c r="T886" s="1"/>
      <c r="U886" s="1"/>
    </row>
    <row r="887" spans="1:21" ht="18" x14ac:dyDescent="0.3">
      <c r="A887" s="1"/>
      <c r="B887" s="23">
        <v>5</v>
      </c>
      <c r="C887" s="24" t="s">
        <v>444</v>
      </c>
      <c r="D887" s="25">
        <v>1</v>
      </c>
      <c r="E887" s="25">
        <v>1</v>
      </c>
      <c r="F887" s="25">
        <v>1</v>
      </c>
      <c r="G887" s="25">
        <v>1</v>
      </c>
      <c r="H887" s="25">
        <v>1</v>
      </c>
      <c r="I887" s="25">
        <v>0.99590000000000001</v>
      </c>
      <c r="J887" s="25">
        <v>0.8</v>
      </c>
      <c r="K887" s="25">
        <v>1</v>
      </c>
      <c r="L887" s="26">
        <v>0</v>
      </c>
      <c r="M887" s="26">
        <v>0.75</v>
      </c>
      <c r="N887" s="27">
        <v>0.89710000000000001</v>
      </c>
      <c r="O887" s="28">
        <v>0</v>
      </c>
      <c r="P887" s="27">
        <v>0.89710000000000001</v>
      </c>
      <c r="Q887" s="54"/>
      <c r="R887" s="52"/>
      <c r="S887" s="1"/>
      <c r="T887" s="1"/>
      <c r="U887" s="1"/>
    </row>
    <row r="888" spans="1:21" ht="18" x14ac:dyDescent="0.3">
      <c r="A888" s="1"/>
      <c r="B888" s="23">
        <v>6</v>
      </c>
      <c r="C888" s="33" t="s">
        <v>445</v>
      </c>
      <c r="D888" s="25">
        <v>1</v>
      </c>
      <c r="E888" s="25">
        <v>1</v>
      </c>
      <c r="F888" s="25">
        <v>1</v>
      </c>
      <c r="G888" s="25">
        <v>1</v>
      </c>
      <c r="H888" s="25">
        <v>1</v>
      </c>
      <c r="I888" s="25">
        <v>0.99619999999999997</v>
      </c>
      <c r="J888" s="25">
        <v>1</v>
      </c>
      <c r="K888" s="25">
        <v>1</v>
      </c>
      <c r="L888" s="26">
        <v>0</v>
      </c>
      <c r="M888" s="26">
        <v>0</v>
      </c>
      <c r="N888" s="27">
        <v>0.97850000000000004</v>
      </c>
      <c r="O888" s="28">
        <v>0</v>
      </c>
      <c r="P888" s="27">
        <v>0.97850000000000004</v>
      </c>
      <c r="Q888" s="54"/>
      <c r="R888" s="52"/>
      <c r="S888" s="1"/>
      <c r="T888" s="1"/>
      <c r="U888" s="1"/>
    </row>
    <row r="889" spans="1:21" x14ac:dyDescent="0.3">
      <c r="A889" s="1"/>
      <c r="B889" s="59" t="s">
        <v>27</v>
      </c>
      <c r="C889" s="60"/>
      <c r="D889" s="31">
        <v>0.99</v>
      </c>
      <c r="E889" s="31">
        <v>1</v>
      </c>
      <c r="F889" s="31">
        <v>1</v>
      </c>
      <c r="G889" s="31">
        <v>1</v>
      </c>
      <c r="H889" s="31">
        <v>1</v>
      </c>
      <c r="I889" s="31">
        <v>1</v>
      </c>
      <c r="J889" s="31">
        <v>0.9</v>
      </c>
      <c r="K889" s="31">
        <v>0.83</v>
      </c>
      <c r="L889" s="31">
        <v>0.17</v>
      </c>
      <c r="M889" s="31">
        <v>0.63</v>
      </c>
      <c r="N889" s="31">
        <v>0.92</v>
      </c>
      <c r="O889" s="31">
        <v>0</v>
      </c>
      <c r="P889" s="31">
        <v>0.92</v>
      </c>
      <c r="Q889" s="54"/>
      <c r="R889" s="52"/>
      <c r="S889" s="1"/>
      <c r="T889" s="1"/>
      <c r="U889" s="1"/>
    </row>
    <row r="890" spans="1:2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52"/>
      <c r="R890" s="52"/>
      <c r="S890" s="1"/>
      <c r="T890" s="1"/>
      <c r="U890" s="1"/>
    </row>
    <row r="891" spans="1:2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52"/>
      <c r="R891" s="52"/>
      <c r="S891" s="1"/>
      <c r="T891" s="1"/>
      <c r="U891" s="1"/>
    </row>
    <row r="892" spans="1:21" ht="15.6" x14ac:dyDescent="0.3">
      <c r="A892" s="1"/>
      <c r="B892" s="3"/>
      <c r="C892" s="4" t="s">
        <v>446</v>
      </c>
      <c r="D892" s="3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5" t="s">
        <v>2</v>
      </c>
      <c r="Q892" s="54"/>
      <c r="R892" s="52"/>
      <c r="S892" s="1"/>
      <c r="T892" s="1"/>
      <c r="U892" s="1"/>
    </row>
    <row r="893" spans="1:21" ht="15.6" x14ac:dyDescent="0.3">
      <c r="A893" s="1"/>
      <c r="B893" s="3"/>
      <c r="C893" s="6">
        <v>46174</v>
      </c>
      <c r="D893" s="3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7">
        <v>0.89</v>
      </c>
      <c r="Q893" s="54"/>
      <c r="R893" s="52"/>
      <c r="S893" s="1"/>
      <c r="T893" s="1"/>
      <c r="U893" s="1"/>
    </row>
    <row r="894" spans="1:21" ht="42" x14ac:dyDescent="0.3">
      <c r="A894" s="1"/>
      <c r="B894" s="55" t="s">
        <v>3</v>
      </c>
      <c r="C894" s="55" t="s">
        <v>4</v>
      </c>
      <c r="D894" s="8" t="s">
        <v>5</v>
      </c>
      <c r="E894" s="8" t="s">
        <v>6</v>
      </c>
      <c r="F894" s="9" t="s">
        <v>7</v>
      </c>
      <c r="G894" s="9" t="s">
        <v>8</v>
      </c>
      <c r="H894" s="9" t="s">
        <v>9</v>
      </c>
      <c r="I894" s="10" t="s">
        <v>10</v>
      </c>
      <c r="J894" s="10" t="s">
        <v>11</v>
      </c>
      <c r="K894" s="11" t="s">
        <v>12</v>
      </c>
      <c r="L894" s="10" t="s">
        <v>13</v>
      </c>
      <c r="M894" s="11" t="s">
        <v>14</v>
      </c>
      <c r="N894" s="12" t="s">
        <v>15</v>
      </c>
      <c r="O894" s="57" t="s">
        <v>16</v>
      </c>
      <c r="P894" s="57" t="s">
        <v>17</v>
      </c>
      <c r="Q894" s="54"/>
      <c r="R894" s="52"/>
      <c r="S894" s="1"/>
      <c r="T894" s="1"/>
      <c r="U894" s="1"/>
    </row>
    <row r="895" spans="1:21" x14ac:dyDescent="0.3">
      <c r="A895" s="1"/>
      <c r="B895" s="56"/>
      <c r="C895" s="56"/>
      <c r="D895" s="13" t="s">
        <v>18</v>
      </c>
      <c r="E895" s="13" t="s">
        <v>18</v>
      </c>
      <c r="F895" s="13" t="s">
        <v>18</v>
      </c>
      <c r="G895" s="13" t="s">
        <v>18</v>
      </c>
      <c r="H895" s="13" t="s">
        <v>18</v>
      </c>
      <c r="I895" s="13" t="s">
        <v>18</v>
      </c>
      <c r="J895" s="13" t="s">
        <v>18</v>
      </c>
      <c r="K895" s="13" t="s">
        <v>18</v>
      </c>
      <c r="L895" s="13" t="s">
        <v>18</v>
      </c>
      <c r="M895" s="13" t="s">
        <v>18</v>
      </c>
      <c r="N895" s="14" t="s">
        <v>29</v>
      </c>
      <c r="O895" s="58"/>
      <c r="P895" s="58"/>
      <c r="Q895" s="54"/>
      <c r="R895" s="52"/>
      <c r="S895" s="1"/>
      <c r="T895" s="1"/>
      <c r="U895" s="1"/>
    </row>
    <row r="896" spans="1:21" x14ac:dyDescent="0.3">
      <c r="A896" s="1"/>
      <c r="B896" s="59" t="s">
        <v>20</v>
      </c>
      <c r="C896" s="60"/>
      <c r="D896" s="16">
        <v>0.1</v>
      </c>
      <c r="E896" s="16">
        <v>0.05</v>
      </c>
      <c r="F896" s="16">
        <v>0.1</v>
      </c>
      <c r="G896" s="16">
        <v>0.1</v>
      </c>
      <c r="H896" s="16">
        <v>0.05</v>
      </c>
      <c r="I896" s="17">
        <v>0.1</v>
      </c>
      <c r="J896" s="17">
        <v>0.35</v>
      </c>
      <c r="K896" s="17">
        <v>0.08</v>
      </c>
      <c r="L896" s="17">
        <v>0.02</v>
      </c>
      <c r="M896" s="17">
        <v>0.05</v>
      </c>
      <c r="N896" s="19">
        <v>1</v>
      </c>
      <c r="O896" s="20"/>
      <c r="P896" s="22"/>
      <c r="Q896" s="54"/>
      <c r="R896" s="52"/>
      <c r="S896" s="1"/>
      <c r="T896" s="1"/>
      <c r="U896" s="1"/>
    </row>
    <row r="897" spans="1:21" ht="18" x14ac:dyDescent="0.3">
      <c r="A897" s="1"/>
      <c r="B897" s="23">
        <v>1</v>
      </c>
      <c r="C897" s="24" t="s">
        <v>447</v>
      </c>
      <c r="D897" s="25">
        <v>1</v>
      </c>
      <c r="E897" s="25">
        <v>1</v>
      </c>
      <c r="F897" s="25">
        <v>1</v>
      </c>
      <c r="G897" s="25">
        <v>1</v>
      </c>
      <c r="H897" s="25">
        <v>1</v>
      </c>
      <c r="I897" s="25">
        <v>1</v>
      </c>
      <c r="J897" s="25">
        <v>1</v>
      </c>
      <c r="K897" s="25">
        <v>1</v>
      </c>
      <c r="L897" s="26">
        <v>0</v>
      </c>
      <c r="M897" s="26">
        <v>0.5</v>
      </c>
      <c r="N897" s="27">
        <v>0.95499999999999996</v>
      </c>
      <c r="O897" s="28">
        <v>0</v>
      </c>
      <c r="P897" s="27">
        <v>0.95499999999999996</v>
      </c>
      <c r="Q897" s="54"/>
      <c r="R897" s="52"/>
      <c r="S897" s="1"/>
      <c r="T897" s="1"/>
      <c r="U897" s="1"/>
    </row>
    <row r="898" spans="1:21" ht="18" x14ac:dyDescent="0.3">
      <c r="A898" s="1"/>
      <c r="B898" s="23">
        <v>2</v>
      </c>
      <c r="C898" s="24" t="s">
        <v>448</v>
      </c>
      <c r="D898" s="25">
        <v>1</v>
      </c>
      <c r="E898" s="25">
        <v>1</v>
      </c>
      <c r="F898" s="25">
        <v>0.98180000000000001</v>
      </c>
      <c r="G898" s="25">
        <v>1</v>
      </c>
      <c r="H898" s="25">
        <v>1</v>
      </c>
      <c r="I898" s="25">
        <v>0.99280000000000002</v>
      </c>
      <c r="J898" s="25">
        <v>0.8</v>
      </c>
      <c r="K898" s="25">
        <v>1</v>
      </c>
      <c r="L898" s="26">
        <v>0</v>
      </c>
      <c r="M898" s="26">
        <v>1</v>
      </c>
      <c r="N898" s="27">
        <v>0.90749999999999997</v>
      </c>
      <c r="O898" s="28">
        <v>0</v>
      </c>
      <c r="P898" s="27">
        <v>0.90749999999999997</v>
      </c>
      <c r="Q898" s="54"/>
      <c r="R898" s="52"/>
      <c r="S898" s="1"/>
      <c r="T898" s="1"/>
      <c r="U898" s="1"/>
    </row>
    <row r="899" spans="1:21" ht="18" x14ac:dyDescent="0.3">
      <c r="A899" s="1"/>
      <c r="B899" s="23">
        <v>3</v>
      </c>
      <c r="C899" s="24" t="s">
        <v>449</v>
      </c>
      <c r="D899" s="25">
        <v>0.98</v>
      </c>
      <c r="E899" s="25">
        <v>1</v>
      </c>
      <c r="F899" s="25">
        <v>1</v>
      </c>
      <c r="G899" s="25">
        <v>1</v>
      </c>
      <c r="H899" s="25">
        <v>1</v>
      </c>
      <c r="I899" s="25">
        <v>0.94969999999999999</v>
      </c>
      <c r="J899" s="25">
        <v>0.8</v>
      </c>
      <c r="K899" s="25">
        <v>0.5</v>
      </c>
      <c r="L899" s="26">
        <v>0</v>
      </c>
      <c r="M899" s="26">
        <v>1</v>
      </c>
      <c r="N899" s="27">
        <v>0.86299999999999999</v>
      </c>
      <c r="O899" s="28">
        <v>0</v>
      </c>
      <c r="P899" s="27">
        <v>0.86299999999999999</v>
      </c>
      <c r="Q899" s="54"/>
      <c r="R899" s="52"/>
      <c r="S899" s="1"/>
      <c r="T899" s="1"/>
      <c r="U899" s="1"/>
    </row>
    <row r="900" spans="1:21" ht="18" x14ac:dyDescent="0.3">
      <c r="A900" s="1"/>
      <c r="B900" s="23">
        <v>4</v>
      </c>
      <c r="C900" s="24" t="s">
        <v>450</v>
      </c>
      <c r="D900" s="25">
        <v>0.94</v>
      </c>
      <c r="E900" s="25">
        <v>0.99</v>
      </c>
      <c r="F900" s="25">
        <v>1</v>
      </c>
      <c r="G900" s="25">
        <v>0.97619999999999996</v>
      </c>
      <c r="H900" s="25">
        <v>1</v>
      </c>
      <c r="I900" s="25">
        <v>0.99209999999999998</v>
      </c>
      <c r="J900" s="25">
        <v>0.8</v>
      </c>
      <c r="K900" s="25">
        <v>0.5</v>
      </c>
      <c r="L900" s="26">
        <v>1</v>
      </c>
      <c r="M900" s="26">
        <v>0.75</v>
      </c>
      <c r="N900" s="27">
        <v>0.86780000000000002</v>
      </c>
      <c r="O900" s="28">
        <v>0</v>
      </c>
      <c r="P900" s="27">
        <v>0.86780000000000002</v>
      </c>
      <c r="Q900" s="54"/>
      <c r="R900" s="52"/>
      <c r="S900" s="1"/>
      <c r="T900" s="1"/>
      <c r="U900" s="1"/>
    </row>
    <row r="901" spans="1:21" ht="18" x14ac:dyDescent="0.3">
      <c r="A901" s="1"/>
      <c r="B901" s="23">
        <v>5</v>
      </c>
      <c r="C901" s="24" t="s">
        <v>451</v>
      </c>
      <c r="D901" s="25">
        <v>0.98</v>
      </c>
      <c r="E901" s="25">
        <v>1</v>
      </c>
      <c r="F901" s="25">
        <v>1</v>
      </c>
      <c r="G901" s="25">
        <v>0.91169999999999995</v>
      </c>
      <c r="H901" s="25">
        <v>0</v>
      </c>
      <c r="I901" s="25">
        <v>1</v>
      </c>
      <c r="J901" s="25">
        <v>0.8</v>
      </c>
      <c r="K901" s="25">
        <v>1</v>
      </c>
      <c r="L901" s="26">
        <v>0</v>
      </c>
      <c r="M901" s="26">
        <v>1</v>
      </c>
      <c r="N901" s="27">
        <v>0.84919999999999995</v>
      </c>
      <c r="O901" s="28">
        <v>0</v>
      </c>
      <c r="P901" s="27">
        <v>0.84919999999999995</v>
      </c>
      <c r="Q901" s="54"/>
      <c r="R901" s="52"/>
      <c r="S901" s="1"/>
      <c r="T901" s="1"/>
      <c r="U901" s="1"/>
    </row>
    <row r="902" spans="1:21" x14ac:dyDescent="0.3">
      <c r="A902" s="1"/>
      <c r="B902" s="59" t="s">
        <v>27</v>
      </c>
      <c r="C902" s="60"/>
      <c r="D902" s="31">
        <v>0.98</v>
      </c>
      <c r="E902" s="31">
        <v>1</v>
      </c>
      <c r="F902" s="31">
        <v>1</v>
      </c>
      <c r="G902" s="31">
        <v>0.98</v>
      </c>
      <c r="H902" s="31">
        <v>0.8</v>
      </c>
      <c r="I902" s="31">
        <v>0.99</v>
      </c>
      <c r="J902" s="31">
        <v>0.84</v>
      </c>
      <c r="K902" s="31">
        <v>0.8</v>
      </c>
      <c r="L902" s="31">
        <v>0.2</v>
      </c>
      <c r="M902" s="31">
        <v>0.85</v>
      </c>
      <c r="N902" s="31">
        <v>0.89</v>
      </c>
      <c r="O902" s="31">
        <v>0</v>
      </c>
      <c r="P902" s="31">
        <v>0.89</v>
      </c>
      <c r="Q902" s="54"/>
      <c r="R902" s="52"/>
      <c r="S902" s="1"/>
      <c r="T902" s="1"/>
      <c r="U902" s="1"/>
    </row>
    <row r="903" spans="1:2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52"/>
      <c r="R903" s="52"/>
      <c r="S903" s="1"/>
      <c r="T903" s="1"/>
      <c r="U903" s="1"/>
    </row>
    <row r="904" spans="1:2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52"/>
      <c r="R904" s="52"/>
      <c r="S904" s="1"/>
      <c r="T904" s="1"/>
      <c r="U904" s="1"/>
    </row>
    <row r="905" spans="1:21" ht="15.6" x14ac:dyDescent="0.3">
      <c r="A905" s="1"/>
      <c r="B905" s="3"/>
      <c r="C905" s="4" t="s">
        <v>452</v>
      </c>
      <c r="D905" s="3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5" t="s">
        <v>2</v>
      </c>
      <c r="Q905" s="54"/>
      <c r="R905" s="52"/>
      <c r="S905" s="1"/>
      <c r="T905" s="1"/>
      <c r="U905" s="1"/>
    </row>
    <row r="906" spans="1:21" ht="15.6" x14ac:dyDescent="0.3">
      <c r="A906" s="1"/>
      <c r="B906" s="3"/>
      <c r="C906" s="6">
        <v>46174</v>
      </c>
      <c r="D906" s="3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7">
        <v>0.93</v>
      </c>
      <c r="Q906" s="54"/>
      <c r="R906" s="52"/>
      <c r="S906" s="1"/>
      <c r="T906" s="1"/>
      <c r="U906" s="1"/>
    </row>
    <row r="907" spans="1:21" ht="42" x14ac:dyDescent="0.3">
      <c r="A907" s="1"/>
      <c r="B907" s="55" t="s">
        <v>3</v>
      </c>
      <c r="C907" s="55" t="s">
        <v>4</v>
      </c>
      <c r="D907" s="8" t="s">
        <v>5</v>
      </c>
      <c r="E907" s="8" t="s">
        <v>6</v>
      </c>
      <c r="F907" s="9" t="s">
        <v>7</v>
      </c>
      <c r="G907" s="9" t="s">
        <v>8</v>
      </c>
      <c r="H907" s="9" t="s">
        <v>9</v>
      </c>
      <c r="I907" s="10" t="s">
        <v>10</v>
      </c>
      <c r="J907" s="10" t="s">
        <v>11</v>
      </c>
      <c r="K907" s="11" t="s">
        <v>12</v>
      </c>
      <c r="L907" s="10" t="s">
        <v>13</v>
      </c>
      <c r="M907" s="11" t="s">
        <v>14</v>
      </c>
      <c r="N907" s="12" t="s">
        <v>15</v>
      </c>
      <c r="O907" s="57" t="s">
        <v>16</v>
      </c>
      <c r="P907" s="57" t="s">
        <v>17</v>
      </c>
      <c r="Q907" s="54"/>
      <c r="R907" s="52"/>
      <c r="S907" s="1"/>
      <c r="T907" s="1"/>
      <c r="U907" s="1"/>
    </row>
    <row r="908" spans="1:21" x14ac:dyDescent="0.3">
      <c r="A908" s="1"/>
      <c r="B908" s="56"/>
      <c r="C908" s="56"/>
      <c r="D908" s="13" t="s">
        <v>18</v>
      </c>
      <c r="E908" s="13" t="s">
        <v>18</v>
      </c>
      <c r="F908" s="13" t="s">
        <v>18</v>
      </c>
      <c r="G908" s="13" t="s">
        <v>18</v>
      </c>
      <c r="H908" s="13" t="s">
        <v>18</v>
      </c>
      <c r="I908" s="13" t="s">
        <v>18</v>
      </c>
      <c r="J908" s="13" t="s">
        <v>18</v>
      </c>
      <c r="K908" s="13" t="s">
        <v>18</v>
      </c>
      <c r="L908" s="13" t="s">
        <v>18</v>
      </c>
      <c r="M908" s="13" t="s">
        <v>18</v>
      </c>
      <c r="N908" s="14" t="s">
        <v>29</v>
      </c>
      <c r="O908" s="58"/>
      <c r="P908" s="58"/>
      <c r="Q908" s="54"/>
      <c r="R908" s="52"/>
      <c r="S908" s="1"/>
      <c r="T908" s="1"/>
      <c r="U908" s="1"/>
    </row>
    <row r="909" spans="1:21" x14ac:dyDescent="0.3">
      <c r="A909" s="1"/>
      <c r="B909" s="59" t="s">
        <v>20</v>
      </c>
      <c r="C909" s="60"/>
      <c r="D909" s="16">
        <v>0.1</v>
      </c>
      <c r="E909" s="16">
        <v>0.05</v>
      </c>
      <c r="F909" s="16">
        <v>0.1</v>
      </c>
      <c r="G909" s="16">
        <v>0.1</v>
      </c>
      <c r="H909" s="16">
        <v>0.05</v>
      </c>
      <c r="I909" s="17">
        <v>0.1</v>
      </c>
      <c r="J909" s="17">
        <v>0.35</v>
      </c>
      <c r="K909" s="17">
        <v>0.08</v>
      </c>
      <c r="L909" s="17">
        <v>0.02</v>
      </c>
      <c r="M909" s="17">
        <v>0.05</v>
      </c>
      <c r="N909" s="19">
        <v>1</v>
      </c>
      <c r="O909" s="20"/>
      <c r="P909" s="22"/>
      <c r="Q909" s="54"/>
      <c r="R909" s="52"/>
      <c r="S909" s="1"/>
      <c r="T909" s="1"/>
      <c r="U909" s="1"/>
    </row>
    <row r="910" spans="1:21" ht="18" x14ac:dyDescent="0.3">
      <c r="A910" s="1"/>
      <c r="B910" s="23">
        <v>1</v>
      </c>
      <c r="C910" s="24" t="s">
        <v>453</v>
      </c>
      <c r="D910" s="25">
        <v>0.98</v>
      </c>
      <c r="E910" s="25">
        <v>1</v>
      </c>
      <c r="F910" s="25">
        <v>1</v>
      </c>
      <c r="G910" s="25">
        <v>1</v>
      </c>
      <c r="H910" s="25">
        <v>1</v>
      </c>
      <c r="I910" s="25">
        <v>0.99829999999999997</v>
      </c>
      <c r="J910" s="25">
        <v>1</v>
      </c>
      <c r="K910" s="25">
        <v>1</v>
      </c>
      <c r="L910" s="26">
        <v>0</v>
      </c>
      <c r="M910" s="26">
        <v>1</v>
      </c>
      <c r="N910" s="27">
        <v>0.9778</v>
      </c>
      <c r="O910" s="28">
        <v>0</v>
      </c>
      <c r="P910" s="27">
        <v>0.9778</v>
      </c>
      <c r="Q910" s="54"/>
      <c r="R910" s="52"/>
      <c r="S910" s="1"/>
      <c r="T910" s="1"/>
      <c r="U910" s="1"/>
    </row>
    <row r="911" spans="1:21" ht="18" x14ac:dyDescent="0.3">
      <c r="A911" s="1"/>
      <c r="B911" s="23">
        <v>2</v>
      </c>
      <c r="C911" s="24" t="s">
        <v>454</v>
      </c>
      <c r="D911" s="25">
        <v>0.98</v>
      </c>
      <c r="E911" s="25">
        <v>1</v>
      </c>
      <c r="F911" s="25">
        <v>1</v>
      </c>
      <c r="G911" s="25">
        <v>1</v>
      </c>
      <c r="H911" s="25">
        <v>1</v>
      </c>
      <c r="I911" s="25">
        <v>1</v>
      </c>
      <c r="J911" s="25">
        <v>1</v>
      </c>
      <c r="K911" s="25">
        <v>1</v>
      </c>
      <c r="L911" s="26">
        <v>1</v>
      </c>
      <c r="M911" s="26">
        <v>1</v>
      </c>
      <c r="N911" s="27">
        <v>0.998</v>
      </c>
      <c r="O911" s="28">
        <v>0</v>
      </c>
      <c r="P911" s="27">
        <v>0.998</v>
      </c>
      <c r="Q911" s="54"/>
      <c r="R911" s="52"/>
      <c r="S911" s="1"/>
      <c r="T911" s="1"/>
      <c r="U911" s="1"/>
    </row>
    <row r="912" spans="1:21" ht="18" x14ac:dyDescent="0.3">
      <c r="A912" s="1"/>
      <c r="B912" s="23">
        <v>3</v>
      </c>
      <c r="C912" s="24" t="s">
        <v>455</v>
      </c>
      <c r="D912" s="25">
        <v>1</v>
      </c>
      <c r="E912" s="25">
        <v>1</v>
      </c>
      <c r="F912" s="25">
        <v>1</v>
      </c>
      <c r="G912" s="25">
        <v>1</v>
      </c>
      <c r="H912" s="25">
        <v>1</v>
      </c>
      <c r="I912" s="25">
        <v>1</v>
      </c>
      <c r="J912" s="25">
        <v>1</v>
      </c>
      <c r="K912" s="25">
        <v>0</v>
      </c>
      <c r="L912" s="26">
        <v>0</v>
      </c>
      <c r="M912" s="26">
        <v>1</v>
      </c>
      <c r="N912" s="27">
        <v>0.9</v>
      </c>
      <c r="O912" s="28">
        <v>0</v>
      </c>
      <c r="P912" s="27">
        <v>0.9</v>
      </c>
      <c r="Q912" s="54"/>
      <c r="R912" s="52"/>
      <c r="S912" s="1"/>
      <c r="T912" s="1"/>
      <c r="U912" s="1"/>
    </row>
    <row r="913" spans="1:21" ht="18" x14ac:dyDescent="0.3">
      <c r="A913" s="1"/>
      <c r="B913" s="23">
        <v>4</v>
      </c>
      <c r="C913" s="24" t="s">
        <v>456</v>
      </c>
      <c r="D913" s="25">
        <v>1</v>
      </c>
      <c r="E913" s="25">
        <v>0.98</v>
      </c>
      <c r="F913" s="25">
        <v>1</v>
      </c>
      <c r="G913" s="25">
        <v>1</v>
      </c>
      <c r="H913" s="25">
        <v>1</v>
      </c>
      <c r="I913" s="25">
        <v>0.99790000000000001</v>
      </c>
      <c r="J913" s="25">
        <v>0.8</v>
      </c>
      <c r="K913" s="25">
        <v>1</v>
      </c>
      <c r="L913" s="26">
        <v>0</v>
      </c>
      <c r="M913" s="26">
        <v>1</v>
      </c>
      <c r="N913" s="27">
        <v>0.90880000000000005</v>
      </c>
      <c r="O913" s="28">
        <v>0</v>
      </c>
      <c r="P913" s="27">
        <v>0.90880000000000005</v>
      </c>
      <c r="Q913" s="54"/>
      <c r="R913" s="52"/>
      <c r="S913" s="1"/>
      <c r="T913" s="1"/>
      <c r="U913" s="1"/>
    </row>
    <row r="914" spans="1:21" ht="18" x14ac:dyDescent="0.3">
      <c r="A914" s="1"/>
      <c r="B914" s="23">
        <v>5</v>
      </c>
      <c r="C914" s="24" t="s">
        <v>457</v>
      </c>
      <c r="D914" s="25">
        <v>0.98</v>
      </c>
      <c r="E914" s="25">
        <v>1</v>
      </c>
      <c r="F914" s="25">
        <v>1</v>
      </c>
      <c r="G914" s="25">
        <v>1</v>
      </c>
      <c r="H914" s="25">
        <v>1</v>
      </c>
      <c r="I914" s="25">
        <v>0.99790000000000001</v>
      </c>
      <c r="J914" s="25">
        <v>1</v>
      </c>
      <c r="K914" s="25">
        <v>0.5</v>
      </c>
      <c r="L914" s="26">
        <v>0</v>
      </c>
      <c r="M914" s="26">
        <v>1</v>
      </c>
      <c r="N914" s="27">
        <v>0.93779999999999997</v>
      </c>
      <c r="O914" s="28">
        <v>0</v>
      </c>
      <c r="P914" s="27">
        <v>0.93779999999999997</v>
      </c>
      <c r="Q914" s="54"/>
      <c r="R914" s="52"/>
      <c r="S914" s="1"/>
      <c r="T914" s="1"/>
      <c r="U914" s="1"/>
    </row>
    <row r="915" spans="1:21" ht="18" x14ac:dyDescent="0.3">
      <c r="A915" s="1"/>
      <c r="B915" s="23">
        <v>6</v>
      </c>
      <c r="C915" s="24" t="s">
        <v>458</v>
      </c>
      <c r="D915" s="25">
        <v>1</v>
      </c>
      <c r="E915" s="25">
        <v>1</v>
      </c>
      <c r="F915" s="25">
        <v>1</v>
      </c>
      <c r="G915" s="25">
        <v>0.95540000000000003</v>
      </c>
      <c r="H915" s="25">
        <v>0</v>
      </c>
      <c r="I915" s="25">
        <v>0.98629999999999995</v>
      </c>
      <c r="J915" s="25">
        <v>0.8</v>
      </c>
      <c r="K915" s="25">
        <v>1</v>
      </c>
      <c r="L915" s="26">
        <v>0</v>
      </c>
      <c r="M915" s="26">
        <v>0.5</v>
      </c>
      <c r="N915" s="27">
        <v>0.82920000000000005</v>
      </c>
      <c r="O915" s="28">
        <v>0</v>
      </c>
      <c r="P915" s="27">
        <v>0.82920000000000005</v>
      </c>
      <c r="Q915" s="54"/>
      <c r="R915" s="52"/>
      <c r="S915" s="1"/>
      <c r="T915" s="1"/>
      <c r="U915" s="1"/>
    </row>
    <row r="916" spans="1:21" x14ac:dyDescent="0.3">
      <c r="A916" s="1"/>
      <c r="B916" s="59" t="s">
        <v>27</v>
      </c>
      <c r="C916" s="60"/>
      <c r="D916" s="31">
        <v>0.99</v>
      </c>
      <c r="E916" s="31">
        <v>1</v>
      </c>
      <c r="F916" s="31">
        <v>1</v>
      </c>
      <c r="G916" s="31">
        <v>0.99</v>
      </c>
      <c r="H916" s="31">
        <v>0.83</v>
      </c>
      <c r="I916" s="31">
        <v>1</v>
      </c>
      <c r="J916" s="31">
        <v>0.93</v>
      </c>
      <c r="K916" s="31">
        <v>0.75</v>
      </c>
      <c r="L916" s="31">
        <v>0.17</v>
      </c>
      <c r="M916" s="31">
        <v>0.92</v>
      </c>
      <c r="N916" s="31">
        <v>0.93</v>
      </c>
      <c r="O916" s="31">
        <v>0</v>
      </c>
      <c r="P916" s="31">
        <v>0.93</v>
      </c>
      <c r="Q916" s="54"/>
      <c r="R916" s="52"/>
      <c r="S916" s="1"/>
      <c r="T916" s="1"/>
      <c r="U916" s="1"/>
    </row>
    <row r="917" spans="1:2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52"/>
      <c r="R917" s="52"/>
      <c r="S917" s="1"/>
      <c r="T917" s="1"/>
      <c r="U917" s="1"/>
    </row>
    <row r="918" spans="1:2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52"/>
      <c r="R918" s="52"/>
      <c r="S918" s="1"/>
      <c r="T918" s="1"/>
      <c r="U918" s="1"/>
    </row>
    <row r="919" spans="1:21" ht="15.6" x14ac:dyDescent="0.3">
      <c r="A919" s="1"/>
      <c r="B919" s="3"/>
      <c r="C919" s="4" t="s">
        <v>459</v>
      </c>
      <c r="D919" s="3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5" t="s">
        <v>2</v>
      </c>
      <c r="Q919" s="54"/>
      <c r="R919" s="52"/>
      <c r="S919" s="1"/>
      <c r="T919" s="1"/>
      <c r="U919" s="1"/>
    </row>
    <row r="920" spans="1:21" ht="15.6" x14ac:dyDescent="0.3">
      <c r="A920" s="1"/>
      <c r="B920" s="3"/>
      <c r="C920" s="6">
        <v>46174</v>
      </c>
      <c r="D920" s="3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7">
        <v>0.96</v>
      </c>
      <c r="Q920" s="54"/>
      <c r="R920" s="52"/>
      <c r="S920" s="1"/>
      <c r="T920" s="1"/>
      <c r="U920" s="1"/>
    </row>
    <row r="921" spans="1:21" ht="42" x14ac:dyDescent="0.3">
      <c r="A921" s="1"/>
      <c r="B921" s="55" t="s">
        <v>3</v>
      </c>
      <c r="C921" s="55" t="s">
        <v>4</v>
      </c>
      <c r="D921" s="8" t="s">
        <v>5</v>
      </c>
      <c r="E921" s="8" t="s">
        <v>6</v>
      </c>
      <c r="F921" s="9" t="s">
        <v>7</v>
      </c>
      <c r="G921" s="9" t="s">
        <v>8</v>
      </c>
      <c r="H921" s="9" t="s">
        <v>9</v>
      </c>
      <c r="I921" s="10" t="s">
        <v>10</v>
      </c>
      <c r="J921" s="10" t="s">
        <v>11</v>
      </c>
      <c r="K921" s="11" t="s">
        <v>12</v>
      </c>
      <c r="L921" s="10" t="s">
        <v>13</v>
      </c>
      <c r="M921" s="11" t="s">
        <v>14</v>
      </c>
      <c r="N921" s="12" t="s">
        <v>15</v>
      </c>
      <c r="O921" s="57" t="s">
        <v>16</v>
      </c>
      <c r="P921" s="57" t="s">
        <v>17</v>
      </c>
      <c r="Q921" s="54"/>
      <c r="R921" s="52"/>
      <c r="S921" s="1"/>
      <c r="T921" s="1"/>
      <c r="U921" s="1"/>
    </row>
    <row r="922" spans="1:21" x14ac:dyDescent="0.3">
      <c r="A922" s="1"/>
      <c r="B922" s="56"/>
      <c r="C922" s="56"/>
      <c r="D922" s="13" t="s">
        <v>18</v>
      </c>
      <c r="E922" s="13" t="s">
        <v>18</v>
      </c>
      <c r="F922" s="13" t="s">
        <v>18</v>
      </c>
      <c r="G922" s="13" t="s">
        <v>18</v>
      </c>
      <c r="H922" s="13" t="s">
        <v>18</v>
      </c>
      <c r="I922" s="13" t="s">
        <v>18</v>
      </c>
      <c r="J922" s="13" t="s">
        <v>18</v>
      </c>
      <c r="K922" s="13" t="s">
        <v>18</v>
      </c>
      <c r="L922" s="13" t="s">
        <v>18</v>
      </c>
      <c r="M922" s="13" t="s">
        <v>18</v>
      </c>
      <c r="N922" s="14" t="s">
        <v>29</v>
      </c>
      <c r="O922" s="58"/>
      <c r="P922" s="58"/>
      <c r="Q922" s="54"/>
      <c r="R922" s="52"/>
      <c r="S922" s="1"/>
      <c r="T922" s="1"/>
      <c r="U922" s="1"/>
    </row>
    <row r="923" spans="1:21" x14ac:dyDescent="0.3">
      <c r="A923" s="1"/>
      <c r="B923" s="59" t="s">
        <v>20</v>
      </c>
      <c r="C923" s="60"/>
      <c r="D923" s="16">
        <v>0.1</v>
      </c>
      <c r="E923" s="16">
        <v>0.05</v>
      </c>
      <c r="F923" s="16">
        <v>0.1</v>
      </c>
      <c r="G923" s="16">
        <v>0.1</v>
      </c>
      <c r="H923" s="16">
        <v>0.05</v>
      </c>
      <c r="I923" s="17">
        <v>0.1</v>
      </c>
      <c r="J923" s="17">
        <v>0.35</v>
      </c>
      <c r="K923" s="17">
        <v>0.08</v>
      </c>
      <c r="L923" s="17">
        <v>0.02</v>
      </c>
      <c r="M923" s="17">
        <v>0.05</v>
      </c>
      <c r="N923" s="19">
        <v>1</v>
      </c>
      <c r="O923" s="20"/>
      <c r="P923" s="22"/>
      <c r="Q923" s="54"/>
      <c r="R923" s="52"/>
      <c r="S923" s="1"/>
      <c r="T923" s="1"/>
      <c r="U923" s="1"/>
    </row>
    <row r="924" spans="1:21" ht="18" x14ac:dyDescent="0.3">
      <c r="A924" s="1"/>
      <c r="B924" s="23">
        <v>1</v>
      </c>
      <c r="C924" s="24" t="s">
        <v>460</v>
      </c>
      <c r="D924" s="25">
        <v>1</v>
      </c>
      <c r="E924" s="25">
        <v>1</v>
      </c>
      <c r="F924" s="25">
        <v>1</v>
      </c>
      <c r="G924" s="25">
        <v>1</v>
      </c>
      <c r="H924" s="25">
        <v>1</v>
      </c>
      <c r="I924" s="25">
        <v>1</v>
      </c>
      <c r="J924" s="25">
        <v>1</v>
      </c>
      <c r="K924" s="25">
        <v>1</v>
      </c>
      <c r="L924" s="26">
        <v>0</v>
      </c>
      <c r="M924" s="26">
        <v>0.75</v>
      </c>
      <c r="N924" s="27">
        <v>0.96750000000000003</v>
      </c>
      <c r="O924" s="28">
        <v>0</v>
      </c>
      <c r="P924" s="27">
        <v>0.96750000000000003</v>
      </c>
      <c r="Q924" s="54"/>
      <c r="R924" s="52"/>
      <c r="S924" s="1"/>
      <c r="T924" s="1"/>
      <c r="U924" s="1"/>
    </row>
    <row r="925" spans="1:21" ht="18" x14ac:dyDescent="0.3">
      <c r="A925" s="1"/>
      <c r="B925" s="23">
        <v>2</v>
      </c>
      <c r="C925" s="24" t="s">
        <v>461</v>
      </c>
      <c r="D925" s="25">
        <v>1</v>
      </c>
      <c r="E925" s="25">
        <v>0.98</v>
      </c>
      <c r="F925" s="25">
        <v>1</v>
      </c>
      <c r="G925" s="25">
        <v>0.97430000000000005</v>
      </c>
      <c r="H925" s="25">
        <v>1</v>
      </c>
      <c r="I925" s="25">
        <v>0.99790000000000001</v>
      </c>
      <c r="J925" s="25">
        <v>1</v>
      </c>
      <c r="K925" s="25">
        <v>0.5</v>
      </c>
      <c r="L925" s="26">
        <v>0</v>
      </c>
      <c r="M925" s="26">
        <v>1</v>
      </c>
      <c r="N925" s="27">
        <v>0.93620000000000003</v>
      </c>
      <c r="O925" s="28">
        <v>0</v>
      </c>
      <c r="P925" s="27">
        <v>0.93620000000000003</v>
      </c>
      <c r="Q925" s="54"/>
      <c r="R925" s="52"/>
      <c r="S925" s="1"/>
      <c r="T925" s="1"/>
      <c r="U925" s="1"/>
    </row>
    <row r="926" spans="1:21" ht="18" x14ac:dyDescent="0.3">
      <c r="A926" s="1"/>
      <c r="B926" s="23">
        <v>3</v>
      </c>
      <c r="C926" s="24" t="s">
        <v>462</v>
      </c>
      <c r="D926" s="25">
        <v>1</v>
      </c>
      <c r="E926" s="25">
        <v>1</v>
      </c>
      <c r="F926" s="25">
        <v>1</v>
      </c>
      <c r="G926" s="25">
        <v>1</v>
      </c>
      <c r="H926" s="25">
        <v>1</v>
      </c>
      <c r="I926" s="25">
        <v>1</v>
      </c>
      <c r="J926" s="25">
        <v>1</v>
      </c>
      <c r="K926" s="25">
        <v>0.5</v>
      </c>
      <c r="L926" s="26">
        <v>0</v>
      </c>
      <c r="M926" s="26">
        <v>1</v>
      </c>
      <c r="N926" s="27">
        <v>0.94</v>
      </c>
      <c r="O926" s="28">
        <v>0</v>
      </c>
      <c r="P926" s="27">
        <v>0.94</v>
      </c>
      <c r="Q926" s="54"/>
      <c r="R926" s="52"/>
      <c r="S926" s="1"/>
      <c r="T926" s="1"/>
      <c r="U926" s="1"/>
    </row>
    <row r="927" spans="1:21" ht="18" x14ac:dyDescent="0.3">
      <c r="A927" s="1"/>
      <c r="B927" s="23">
        <v>4</v>
      </c>
      <c r="C927" s="24" t="s">
        <v>463</v>
      </c>
      <c r="D927" s="25">
        <v>1</v>
      </c>
      <c r="E927" s="25">
        <v>1</v>
      </c>
      <c r="F927" s="25">
        <v>1</v>
      </c>
      <c r="G927" s="25">
        <v>1</v>
      </c>
      <c r="H927" s="25">
        <v>1</v>
      </c>
      <c r="I927" s="25">
        <v>1</v>
      </c>
      <c r="J927" s="25">
        <v>1</v>
      </c>
      <c r="K927" s="25">
        <v>1</v>
      </c>
      <c r="L927" s="26">
        <v>0</v>
      </c>
      <c r="M927" s="26">
        <v>1</v>
      </c>
      <c r="N927" s="27">
        <v>0.98</v>
      </c>
      <c r="O927" s="28">
        <v>0</v>
      </c>
      <c r="P927" s="27">
        <v>0.98</v>
      </c>
      <c r="Q927" s="54"/>
      <c r="R927" s="52"/>
      <c r="S927" s="1"/>
      <c r="T927" s="1"/>
      <c r="U927" s="1"/>
    </row>
    <row r="928" spans="1:21" ht="18" x14ac:dyDescent="0.3">
      <c r="A928" s="1"/>
      <c r="B928" s="23">
        <v>5</v>
      </c>
      <c r="C928" s="24" t="s">
        <v>464</v>
      </c>
      <c r="D928" s="25">
        <v>1</v>
      </c>
      <c r="E928" s="25">
        <v>1</v>
      </c>
      <c r="F928" s="25">
        <v>1</v>
      </c>
      <c r="G928" s="25">
        <v>0.95169999999999999</v>
      </c>
      <c r="H928" s="25">
        <v>1</v>
      </c>
      <c r="I928" s="25">
        <v>1</v>
      </c>
      <c r="J928" s="25">
        <v>1</v>
      </c>
      <c r="K928" s="25">
        <v>1</v>
      </c>
      <c r="L928" s="26">
        <v>0</v>
      </c>
      <c r="M928" s="26">
        <v>1</v>
      </c>
      <c r="N928" s="27">
        <v>0.97519999999999996</v>
      </c>
      <c r="O928" s="28">
        <v>0</v>
      </c>
      <c r="P928" s="27">
        <v>0.97519999999999996</v>
      </c>
      <c r="Q928" s="54"/>
      <c r="R928" s="52"/>
      <c r="S928" s="1"/>
      <c r="T928" s="1"/>
      <c r="U928" s="1"/>
    </row>
    <row r="929" spans="1:21" x14ac:dyDescent="0.3">
      <c r="A929" s="1"/>
      <c r="B929" s="59" t="s">
        <v>27</v>
      </c>
      <c r="C929" s="60"/>
      <c r="D929" s="31">
        <v>1</v>
      </c>
      <c r="E929" s="31">
        <v>1</v>
      </c>
      <c r="F929" s="31">
        <v>1</v>
      </c>
      <c r="G929" s="31">
        <v>0.99</v>
      </c>
      <c r="H929" s="31">
        <v>1</v>
      </c>
      <c r="I929" s="31">
        <v>1</v>
      </c>
      <c r="J929" s="31">
        <v>1</v>
      </c>
      <c r="K929" s="31">
        <v>0.8</v>
      </c>
      <c r="L929" s="31">
        <v>0</v>
      </c>
      <c r="M929" s="31">
        <v>0.95</v>
      </c>
      <c r="N929" s="31">
        <v>0.96</v>
      </c>
      <c r="O929" s="31">
        <v>0</v>
      </c>
      <c r="P929" s="31">
        <v>0.96</v>
      </c>
      <c r="Q929" s="54"/>
      <c r="R929" s="52"/>
      <c r="S929" s="1"/>
      <c r="T929" s="1"/>
      <c r="U929" s="1"/>
    </row>
    <row r="930" spans="1:2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52"/>
      <c r="R930" s="52"/>
      <c r="S930" s="1"/>
      <c r="T930" s="1"/>
      <c r="U930" s="1"/>
    </row>
    <row r="931" spans="1:2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52"/>
      <c r="R931" s="52"/>
      <c r="S931" s="1"/>
      <c r="T931" s="1"/>
      <c r="U931" s="1"/>
    </row>
    <row r="932" spans="1:21" ht="15.6" x14ac:dyDescent="0.3">
      <c r="A932" s="1"/>
      <c r="B932" s="3"/>
      <c r="C932" s="4" t="s">
        <v>465</v>
      </c>
      <c r="D932" s="3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5" t="s">
        <v>2</v>
      </c>
      <c r="Q932" s="54"/>
      <c r="R932" s="52"/>
      <c r="S932" s="1"/>
      <c r="T932" s="1"/>
      <c r="U932" s="1"/>
    </row>
    <row r="933" spans="1:21" ht="15.6" x14ac:dyDescent="0.3">
      <c r="A933" s="1"/>
      <c r="B933" s="3"/>
      <c r="C933" s="6">
        <v>46174</v>
      </c>
      <c r="D933" s="3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7">
        <v>0.94</v>
      </c>
      <c r="Q933" s="54"/>
      <c r="R933" s="52"/>
      <c r="S933" s="1"/>
      <c r="T933" s="1"/>
      <c r="U933" s="1"/>
    </row>
    <row r="934" spans="1:21" ht="42" x14ac:dyDescent="0.3">
      <c r="A934" s="1"/>
      <c r="B934" s="55" t="s">
        <v>3</v>
      </c>
      <c r="C934" s="55" t="s">
        <v>4</v>
      </c>
      <c r="D934" s="8" t="s">
        <v>5</v>
      </c>
      <c r="E934" s="8" t="s">
        <v>6</v>
      </c>
      <c r="F934" s="9" t="s">
        <v>7</v>
      </c>
      <c r="G934" s="9" t="s">
        <v>8</v>
      </c>
      <c r="H934" s="9" t="s">
        <v>9</v>
      </c>
      <c r="I934" s="10" t="s">
        <v>10</v>
      </c>
      <c r="J934" s="10" t="s">
        <v>11</v>
      </c>
      <c r="K934" s="11" t="s">
        <v>12</v>
      </c>
      <c r="L934" s="10" t="s">
        <v>13</v>
      </c>
      <c r="M934" s="11" t="s">
        <v>14</v>
      </c>
      <c r="N934" s="12" t="s">
        <v>15</v>
      </c>
      <c r="O934" s="57" t="s">
        <v>16</v>
      </c>
      <c r="P934" s="57" t="s">
        <v>17</v>
      </c>
      <c r="Q934" s="54"/>
      <c r="R934" s="52"/>
      <c r="S934" s="1"/>
      <c r="T934" s="1"/>
      <c r="U934" s="1"/>
    </row>
    <row r="935" spans="1:21" x14ac:dyDescent="0.3">
      <c r="A935" s="1"/>
      <c r="B935" s="56"/>
      <c r="C935" s="56"/>
      <c r="D935" s="13" t="s">
        <v>18</v>
      </c>
      <c r="E935" s="13" t="s">
        <v>18</v>
      </c>
      <c r="F935" s="13" t="s">
        <v>18</v>
      </c>
      <c r="G935" s="13" t="s">
        <v>18</v>
      </c>
      <c r="H935" s="13" t="s">
        <v>18</v>
      </c>
      <c r="I935" s="13" t="s">
        <v>18</v>
      </c>
      <c r="J935" s="13" t="s">
        <v>18</v>
      </c>
      <c r="K935" s="13" t="s">
        <v>18</v>
      </c>
      <c r="L935" s="13" t="s">
        <v>18</v>
      </c>
      <c r="M935" s="13" t="s">
        <v>18</v>
      </c>
      <c r="N935" s="14" t="s">
        <v>29</v>
      </c>
      <c r="O935" s="58"/>
      <c r="P935" s="58"/>
      <c r="Q935" s="54"/>
      <c r="R935" s="52"/>
      <c r="S935" s="1"/>
      <c r="T935" s="1"/>
      <c r="U935" s="1"/>
    </row>
    <row r="936" spans="1:21" x14ac:dyDescent="0.3">
      <c r="A936" s="1"/>
      <c r="B936" s="59" t="s">
        <v>20</v>
      </c>
      <c r="C936" s="60"/>
      <c r="D936" s="16">
        <v>0.1</v>
      </c>
      <c r="E936" s="16">
        <v>0.05</v>
      </c>
      <c r="F936" s="16">
        <v>0.1</v>
      </c>
      <c r="G936" s="16">
        <v>0.1</v>
      </c>
      <c r="H936" s="16">
        <v>0.05</v>
      </c>
      <c r="I936" s="17">
        <v>0.1</v>
      </c>
      <c r="J936" s="17">
        <v>0.35</v>
      </c>
      <c r="K936" s="17">
        <v>0.08</v>
      </c>
      <c r="L936" s="17">
        <v>0.02</v>
      </c>
      <c r="M936" s="17">
        <v>0.05</v>
      </c>
      <c r="N936" s="19">
        <v>1</v>
      </c>
      <c r="O936" s="20"/>
      <c r="P936" s="22"/>
      <c r="Q936" s="54"/>
      <c r="R936" s="52"/>
      <c r="S936" s="1"/>
      <c r="T936" s="1"/>
      <c r="U936" s="1"/>
    </row>
    <row r="937" spans="1:21" ht="18" x14ac:dyDescent="0.3">
      <c r="A937" s="1"/>
      <c r="B937" s="23">
        <v>1</v>
      </c>
      <c r="C937" s="24" t="s">
        <v>466</v>
      </c>
      <c r="D937" s="25">
        <v>0.98</v>
      </c>
      <c r="E937" s="25">
        <v>1</v>
      </c>
      <c r="F937" s="25">
        <v>1</v>
      </c>
      <c r="G937" s="25">
        <v>1</v>
      </c>
      <c r="H937" s="25">
        <v>1</v>
      </c>
      <c r="I937" s="25">
        <v>1</v>
      </c>
      <c r="J937" s="25">
        <v>0.8</v>
      </c>
      <c r="K937" s="25">
        <v>1</v>
      </c>
      <c r="L937" s="26">
        <v>0</v>
      </c>
      <c r="M937" s="26">
        <v>0.5</v>
      </c>
      <c r="N937" s="27">
        <v>0.88300000000000001</v>
      </c>
      <c r="O937" s="28">
        <v>0</v>
      </c>
      <c r="P937" s="27">
        <v>0.88300000000000001</v>
      </c>
      <c r="Q937" s="54"/>
      <c r="R937" s="52"/>
      <c r="S937" s="1"/>
      <c r="T937" s="1"/>
      <c r="U937" s="1"/>
    </row>
    <row r="938" spans="1:21" ht="18" x14ac:dyDescent="0.3">
      <c r="A938" s="1"/>
      <c r="B938" s="23">
        <v>2</v>
      </c>
      <c r="C938" s="24" t="s">
        <v>467</v>
      </c>
      <c r="D938" s="25">
        <v>0.98</v>
      </c>
      <c r="E938" s="25">
        <v>1</v>
      </c>
      <c r="F938" s="25">
        <v>1</v>
      </c>
      <c r="G938" s="25">
        <v>1</v>
      </c>
      <c r="H938" s="25">
        <v>1</v>
      </c>
      <c r="I938" s="25">
        <v>0.9778</v>
      </c>
      <c r="J938" s="25">
        <v>1</v>
      </c>
      <c r="K938" s="25">
        <v>0.5</v>
      </c>
      <c r="L938" s="26">
        <v>0</v>
      </c>
      <c r="M938" s="26">
        <v>1</v>
      </c>
      <c r="N938" s="27">
        <v>0.93579999999999997</v>
      </c>
      <c r="O938" s="28">
        <v>0</v>
      </c>
      <c r="P938" s="27">
        <v>0.93579999999999997</v>
      </c>
      <c r="Q938" s="54"/>
      <c r="R938" s="52"/>
      <c r="S938" s="1"/>
      <c r="T938" s="1"/>
      <c r="U938" s="1"/>
    </row>
    <row r="939" spans="1:21" ht="18" x14ac:dyDescent="0.3">
      <c r="A939" s="1"/>
      <c r="B939" s="23">
        <v>3</v>
      </c>
      <c r="C939" s="24" t="s">
        <v>468</v>
      </c>
      <c r="D939" s="25">
        <v>1</v>
      </c>
      <c r="E939" s="25">
        <v>1</v>
      </c>
      <c r="F939" s="25">
        <v>1</v>
      </c>
      <c r="G939" s="25">
        <v>1</v>
      </c>
      <c r="H939" s="25">
        <v>1</v>
      </c>
      <c r="I939" s="25">
        <v>0.99670000000000003</v>
      </c>
      <c r="J939" s="25">
        <v>1</v>
      </c>
      <c r="K939" s="25">
        <v>1</v>
      </c>
      <c r="L939" s="26">
        <v>0</v>
      </c>
      <c r="M939" s="26">
        <v>1</v>
      </c>
      <c r="N939" s="27">
        <v>0.97970000000000002</v>
      </c>
      <c r="O939" s="28">
        <v>0</v>
      </c>
      <c r="P939" s="27">
        <v>0.97970000000000002</v>
      </c>
      <c r="Q939" s="54"/>
      <c r="R939" s="52"/>
      <c r="S939" s="1"/>
      <c r="T939" s="1"/>
      <c r="U939" s="1"/>
    </row>
    <row r="940" spans="1:21" ht="18" x14ac:dyDescent="0.3">
      <c r="A940" s="1"/>
      <c r="B940" s="23">
        <v>4</v>
      </c>
      <c r="C940" s="24" t="s">
        <v>469</v>
      </c>
      <c r="D940" s="25">
        <v>0.98</v>
      </c>
      <c r="E940" s="25">
        <v>0.99</v>
      </c>
      <c r="F940" s="25">
        <v>1</v>
      </c>
      <c r="G940" s="25">
        <v>0.95440000000000003</v>
      </c>
      <c r="H940" s="25">
        <v>1</v>
      </c>
      <c r="I940" s="25">
        <v>0.99629999999999996</v>
      </c>
      <c r="J940" s="25">
        <v>0.8</v>
      </c>
      <c r="K940" s="25">
        <v>1</v>
      </c>
      <c r="L940" s="26">
        <v>0</v>
      </c>
      <c r="M940" s="26">
        <v>1</v>
      </c>
      <c r="N940" s="27">
        <v>0.90259999999999996</v>
      </c>
      <c r="O940" s="28">
        <v>0</v>
      </c>
      <c r="P940" s="27">
        <v>0.90259999999999996</v>
      </c>
      <c r="Q940" s="54"/>
      <c r="R940" s="52"/>
      <c r="S940" s="1"/>
      <c r="T940" s="1"/>
      <c r="U940" s="1"/>
    </row>
    <row r="941" spans="1:21" ht="18" x14ac:dyDescent="0.3">
      <c r="A941" s="1"/>
      <c r="B941" s="23">
        <v>5</v>
      </c>
      <c r="C941" s="24" t="s">
        <v>470</v>
      </c>
      <c r="D941" s="25">
        <v>1</v>
      </c>
      <c r="E941" s="25">
        <v>0.99</v>
      </c>
      <c r="F941" s="25">
        <v>1</v>
      </c>
      <c r="G941" s="25">
        <v>1</v>
      </c>
      <c r="H941" s="25">
        <v>1</v>
      </c>
      <c r="I941" s="25">
        <v>0.98939999999999995</v>
      </c>
      <c r="J941" s="25">
        <v>1</v>
      </c>
      <c r="K941" s="25">
        <v>1</v>
      </c>
      <c r="L941" s="26">
        <v>0</v>
      </c>
      <c r="M941" s="26">
        <v>1</v>
      </c>
      <c r="N941" s="27">
        <v>0.97840000000000005</v>
      </c>
      <c r="O941" s="28">
        <v>0</v>
      </c>
      <c r="P941" s="27">
        <v>0.97840000000000005</v>
      </c>
      <c r="Q941" s="54"/>
      <c r="R941" s="52"/>
      <c r="S941" s="1"/>
      <c r="T941" s="1"/>
      <c r="U941" s="1"/>
    </row>
    <row r="942" spans="1:21" x14ac:dyDescent="0.3">
      <c r="A942" s="1"/>
      <c r="B942" s="59" t="s">
        <v>27</v>
      </c>
      <c r="C942" s="60"/>
      <c r="D942" s="31">
        <v>0.99</v>
      </c>
      <c r="E942" s="31">
        <v>1</v>
      </c>
      <c r="F942" s="31">
        <v>1</v>
      </c>
      <c r="G942" s="31">
        <v>0.99</v>
      </c>
      <c r="H942" s="31">
        <v>1</v>
      </c>
      <c r="I942" s="31">
        <v>0.99</v>
      </c>
      <c r="J942" s="31">
        <v>0.92</v>
      </c>
      <c r="K942" s="31">
        <v>0.9</v>
      </c>
      <c r="L942" s="31">
        <v>0</v>
      </c>
      <c r="M942" s="31">
        <v>0.9</v>
      </c>
      <c r="N942" s="31">
        <v>0.94</v>
      </c>
      <c r="O942" s="31">
        <v>0</v>
      </c>
      <c r="P942" s="31">
        <v>0.94</v>
      </c>
      <c r="Q942" s="54"/>
      <c r="R942" s="52"/>
      <c r="S942" s="1"/>
      <c r="T942" s="1"/>
      <c r="U942" s="1"/>
    </row>
    <row r="943" spans="1:2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52"/>
      <c r="R943" s="52"/>
      <c r="S943" s="1"/>
      <c r="T943" s="1"/>
      <c r="U943" s="1"/>
    </row>
    <row r="944" spans="1:2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52"/>
      <c r="R944" s="52"/>
      <c r="S944" s="1"/>
      <c r="T944" s="1"/>
      <c r="U944" s="1"/>
    </row>
    <row r="945" spans="1:21" ht="15.6" x14ac:dyDescent="0.3">
      <c r="A945" s="1"/>
      <c r="B945" s="3"/>
      <c r="C945" s="4" t="s">
        <v>471</v>
      </c>
      <c r="D945" s="3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5" t="s">
        <v>2</v>
      </c>
      <c r="Q945" s="54"/>
      <c r="R945" s="52"/>
      <c r="S945" s="1"/>
      <c r="T945" s="1"/>
      <c r="U945" s="1"/>
    </row>
    <row r="946" spans="1:21" ht="15.6" x14ac:dyDescent="0.3">
      <c r="A946" s="1"/>
      <c r="B946" s="3"/>
      <c r="C946" s="6">
        <v>46174</v>
      </c>
      <c r="D946" s="3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7">
        <v>0.92</v>
      </c>
      <c r="Q946" s="54"/>
      <c r="R946" s="52"/>
      <c r="S946" s="1"/>
      <c r="T946" s="1"/>
      <c r="U946" s="1"/>
    </row>
    <row r="947" spans="1:21" ht="42" x14ac:dyDescent="0.3">
      <c r="A947" s="1"/>
      <c r="B947" s="55" t="s">
        <v>3</v>
      </c>
      <c r="C947" s="55" t="s">
        <v>4</v>
      </c>
      <c r="D947" s="8" t="s">
        <v>5</v>
      </c>
      <c r="E947" s="8" t="s">
        <v>6</v>
      </c>
      <c r="F947" s="9" t="s">
        <v>7</v>
      </c>
      <c r="G947" s="9" t="s">
        <v>8</v>
      </c>
      <c r="H947" s="9" t="s">
        <v>9</v>
      </c>
      <c r="I947" s="10" t="s">
        <v>10</v>
      </c>
      <c r="J947" s="10" t="s">
        <v>11</v>
      </c>
      <c r="K947" s="11" t="s">
        <v>12</v>
      </c>
      <c r="L947" s="10" t="s">
        <v>13</v>
      </c>
      <c r="M947" s="11" t="s">
        <v>14</v>
      </c>
      <c r="N947" s="12" t="s">
        <v>15</v>
      </c>
      <c r="O947" s="57" t="s">
        <v>16</v>
      </c>
      <c r="P947" s="57" t="s">
        <v>17</v>
      </c>
      <c r="Q947" s="54"/>
      <c r="R947" s="52"/>
      <c r="S947" s="1"/>
      <c r="T947" s="1"/>
      <c r="U947" s="1"/>
    </row>
    <row r="948" spans="1:21" x14ac:dyDescent="0.3">
      <c r="A948" s="1"/>
      <c r="B948" s="56"/>
      <c r="C948" s="56"/>
      <c r="D948" s="13" t="s">
        <v>18</v>
      </c>
      <c r="E948" s="13" t="s">
        <v>18</v>
      </c>
      <c r="F948" s="13" t="s">
        <v>18</v>
      </c>
      <c r="G948" s="13" t="s">
        <v>18</v>
      </c>
      <c r="H948" s="13" t="s">
        <v>18</v>
      </c>
      <c r="I948" s="13" t="s">
        <v>18</v>
      </c>
      <c r="J948" s="13" t="s">
        <v>18</v>
      </c>
      <c r="K948" s="13" t="s">
        <v>18</v>
      </c>
      <c r="L948" s="13" t="s">
        <v>18</v>
      </c>
      <c r="M948" s="13" t="s">
        <v>18</v>
      </c>
      <c r="N948" s="14" t="s">
        <v>29</v>
      </c>
      <c r="O948" s="58"/>
      <c r="P948" s="58"/>
      <c r="Q948" s="54"/>
      <c r="R948" s="52"/>
      <c r="S948" s="1"/>
      <c r="T948" s="1"/>
      <c r="U948" s="1"/>
    </row>
    <row r="949" spans="1:21" x14ac:dyDescent="0.3">
      <c r="A949" s="1"/>
      <c r="B949" s="59" t="s">
        <v>20</v>
      </c>
      <c r="C949" s="60"/>
      <c r="D949" s="16">
        <v>0.1</v>
      </c>
      <c r="E949" s="16">
        <v>0.05</v>
      </c>
      <c r="F949" s="16">
        <v>0.1</v>
      </c>
      <c r="G949" s="16">
        <v>0.1</v>
      </c>
      <c r="H949" s="16">
        <v>0.05</v>
      </c>
      <c r="I949" s="17">
        <v>0.1</v>
      </c>
      <c r="J949" s="17">
        <v>0.35</v>
      </c>
      <c r="K949" s="17">
        <v>0.08</v>
      </c>
      <c r="L949" s="17">
        <v>0.02</v>
      </c>
      <c r="M949" s="17">
        <v>0.05</v>
      </c>
      <c r="N949" s="19">
        <v>1</v>
      </c>
      <c r="O949" s="20"/>
      <c r="P949" s="22"/>
      <c r="Q949" s="54"/>
      <c r="R949" s="52"/>
      <c r="S949" s="1"/>
      <c r="T949" s="1"/>
      <c r="U949" s="1"/>
    </row>
    <row r="950" spans="1:21" ht="18" x14ac:dyDescent="0.3">
      <c r="A950" s="1"/>
      <c r="B950" s="23">
        <v>1</v>
      </c>
      <c r="C950" s="24" t="s">
        <v>472</v>
      </c>
      <c r="D950" s="25">
        <v>1</v>
      </c>
      <c r="E950" s="25">
        <v>1</v>
      </c>
      <c r="F950" s="25">
        <v>1</v>
      </c>
      <c r="G950" s="25">
        <v>1</v>
      </c>
      <c r="H950" s="25">
        <v>1</v>
      </c>
      <c r="I950" s="25">
        <v>0.99109999999999998</v>
      </c>
      <c r="J950" s="25">
        <v>0.8</v>
      </c>
      <c r="K950" s="25">
        <v>1</v>
      </c>
      <c r="L950" s="26">
        <v>0</v>
      </c>
      <c r="M950" s="26">
        <v>1</v>
      </c>
      <c r="N950" s="27">
        <v>0.90910000000000002</v>
      </c>
      <c r="O950" s="28">
        <v>0</v>
      </c>
      <c r="P950" s="27">
        <v>0.90910000000000002</v>
      </c>
      <c r="Q950" s="54"/>
      <c r="R950" s="52"/>
      <c r="S950" s="1"/>
      <c r="T950" s="1"/>
      <c r="U950" s="1"/>
    </row>
    <row r="951" spans="1:21" ht="18" x14ac:dyDescent="0.3">
      <c r="A951" s="1"/>
      <c r="B951" s="23">
        <v>2</v>
      </c>
      <c r="C951" s="24" t="s">
        <v>473</v>
      </c>
      <c r="D951" s="25">
        <v>1</v>
      </c>
      <c r="E951" s="25">
        <v>1</v>
      </c>
      <c r="F951" s="25">
        <v>1</v>
      </c>
      <c r="G951" s="25">
        <v>1</v>
      </c>
      <c r="H951" s="25">
        <v>1</v>
      </c>
      <c r="I951" s="25">
        <v>0.98609999999999998</v>
      </c>
      <c r="J951" s="25">
        <v>1</v>
      </c>
      <c r="K951" s="25">
        <v>1</v>
      </c>
      <c r="L951" s="26">
        <v>0</v>
      </c>
      <c r="M951" s="26">
        <v>1</v>
      </c>
      <c r="N951" s="27">
        <v>0.97860000000000003</v>
      </c>
      <c r="O951" s="28">
        <v>0</v>
      </c>
      <c r="P951" s="27">
        <v>0.97860000000000003</v>
      </c>
      <c r="Q951" s="54"/>
      <c r="R951" s="52"/>
      <c r="S951" s="1"/>
      <c r="T951" s="1"/>
      <c r="U951" s="1"/>
    </row>
    <row r="952" spans="1:21" ht="18" x14ac:dyDescent="0.3">
      <c r="A952" s="1"/>
      <c r="B952" s="23">
        <v>3</v>
      </c>
      <c r="C952" s="24" t="s">
        <v>474</v>
      </c>
      <c r="D952" s="25">
        <v>1</v>
      </c>
      <c r="E952" s="25">
        <v>1</v>
      </c>
      <c r="F952" s="25">
        <v>1</v>
      </c>
      <c r="G952" s="25">
        <v>1</v>
      </c>
      <c r="H952" s="25">
        <v>1</v>
      </c>
      <c r="I952" s="25">
        <v>0.9889</v>
      </c>
      <c r="J952" s="25">
        <v>1</v>
      </c>
      <c r="K952" s="25">
        <v>1</v>
      </c>
      <c r="L952" s="26">
        <v>0</v>
      </c>
      <c r="M952" s="26">
        <v>1</v>
      </c>
      <c r="N952" s="27">
        <v>0.97889999999999999</v>
      </c>
      <c r="O952" s="28">
        <v>0</v>
      </c>
      <c r="P952" s="27">
        <v>0.97889999999999999</v>
      </c>
      <c r="Q952" s="54"/>
      <c r="R952" s="52"/>
      <c r="S952" s="1"/>
      <c r="T952" s="1"/>
      <c r="U952" s="1"/>
    </row>
    <row r="953" spans="1:21" ht="18" x14ac:dyDescent="0.3">
      <c r="A953" s="1"/>
      <c r="B953" s="23">
        <v>4</v>
      </c>
      <c r="C953" s="24" t="s">
        <v>475</v>
      </c>
      <c r="D953" s="25">
        <v>0.98</v>
      </c>
      <c r="E953" s="25">
        <v>0.99</v>
      </c>
      <c r="F953" s="25">
        <v>1</v>
      </c>
      <c r="G953" s="25">
        <v>1</v>
      </c>
      <c r="H953" s="25">
        <v>1</v>
      </c>
      <c r="I953" s="25">
        <v>0.99770000000000003</v>
      </c>
      <c r="J953" s="25">
        <v>1</v>
      </c>
      <c r="K953" s="25">
        <v>1</v>
      </c>
      <c r="L953" s="26">
        <v>0</v>
      </c>
      <c r="M953" s="26">
        <v>0.5</v>
      </c>
      <c r="N953" s="27">
        <v>0.95230000000000004</v>
      </c>
      <c r="O953" s="28">
        <v>0</v>
      </c>
      <c r="P953" s="27">
        <v>0.95230000000000004</v>
      </c>
      <c r="Q953" s="54"/>
      <c r="R953" s="52"/>
      <c r="S953" s="1"/>
      <c r="T953" s="1"/>
      <c r="U953" s="1"/>
    </row>
    <row r="954" spans="1:21" ht="18" x14ac:dyDescent="0.3">
      <c r="A954" s="1"/>
      <c r="B954" s="23">
        <v>5</v>
      </c>
      <c r="C954" s="24" t="s">
        <v>476</v>
      </c>
      <c r="D954" s="25">
        <v>1</v>
      </c>
      <c r="E954" s="25">
        <v>1</v>
      </c>
      <c r="F954" s="25">
        <v>1</v>
      </c>
      <c r="G954" s="25">
        <v>0.91249999999999998</v>
      </c>
      <c r="H954" s="25">
        <v>0</v>
      </c>
      <c r="I954" s="25">
        <v>0.99790000000000001</v>
      </c>
      <c r="J954" s="25">
        <v>1</v>
      </c>
      <c r="K954" s="25">
        <v>0.5</v>
      </c>
      <c r="L954" s="26">
        <v>0</v>
      </c>
      <c r="M954" s="26">
        <v>0.5</v>
      </c>
      <c r="N954" s="27">
        <v>0.85599999999999998</v>
      </c>
      <c r="O954" s="28">
        <v>0</v>
      </c>
      <c r="P954" s="27">
        <v>0.85599999999999998</v>
      </c>
      <c r="Q954" s="54"/>
      <c r="R954" s="52"/>
      <c r="S954" s="1"/>
      <c r="T954" s="1"/>
      <c r="U954" s="1"/>
    </row>
    <row r="955" spans="1:21" ht="18" x14ac:dyDescent="0.3">
      <c r="A955" s="1"/>
      <c r="B955" s="23">
        <v>6</v>
      </c>
      <c r="C955" s="24" t="s">
        <v>477</v>
      </c>
      <c r="D955" s="25">
        <v>1</v>
      </c>
      <c r="E955" s="25">
        <v>1</v>
      </c>
      <c r="F955" s="25">
        <v>1</v>
      </c>
      <c r="G955" s="25">
        <v>0.92320000000000002</v>
      </c>
      <c r="H955" s="25">
        <v>1</v>
      </c>
      <c r="I955" s="25">
        <v>0.94879999999999998</v>
      </c>
      <c r="J955" s="25">
        <v>0.8</v>
      </c>
      <c r="K955" s="25">
        <v>0.5</v>
      </c>
      <c r="L955" s="26">
        <v>0</v>
      </c>
      <c r="M955" s="26">
        <v>1</v>
      </c>
      <c r="N955" s="27">
        <v>0.85719999999999996</v>
      </c>
      <c r="O955" s="28">
        <v>0</v>
      </c>
      <c r="P955" s="27">
        <v>0.85719999999999996</v>
      </c>
      <c r="Q955" s="54"/>
      <c r="R955" s="52"/>
      <c r="S955" s="1"/>
      <c r="T955" s="1"/>
      <c r="U955" s="1"/>
    </row>
    <row r="956" spans="1:21" x14ac:dyDescent="0.3">
      <c r="A956" s="1"/>
      <c r="B956" s="59" t="s">
        <v>27</v>
      </c>
      <c r="C956" s="60"/>
      <c r="D956" s="31">
        <v>1</v>
      </c>
      <c r="E956" s="31">
        <v>1</v>
      </c>
      <c r="F956" s="31">
        <v>1</v>
      </c>
      <c r="G956" s="31">
        <v>0.97</v>
      </c>
      <c r="H956" s="31">
        <v>0.83</v>
      </c>
      <c r="I956" s="31">
        <v>0.99</v>
      </c>
      <c r="J956" s="31">
        <v>0.93</v>
      </c>
      <c r="K956" s="31">
        <v>0.83</v>
      </c>
      <c r="L956" s="31">
        <v>0</v>
      </c>
      <c r="M956" s="31">
        <v>0.83</v>
      </c>
      <c r="N956" s="31">
        <v>0.92</v>
      </c>
      <c r="O956" s="31">
        <v>0</v>
      </c>
      <c r="P956" s="31">
        <v>0.92</v>
      </c>
      <c r="Q956" s="54"/>
      <c r="R956" s="52"/>
      <c r="S956" s="1"/>
      <c r="T956" s="1"/>
      <c r="U956" s="1"/>
    </row>
    <row r="957" spans="1:2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52"/>
      <c r="R957" s="52"/>
      <c r="S957" s="1"/>
      <c r="T957" s="1"/>
      <c r="U957" s="1"/>
    </row>
    <row r="958" spans="1:2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52"/>
      <c r="R958" s="52"/>
      <c r="S958" s="1"/>
      <c r="T958" s="1"/>
      <c r="U958" s="1"/>
    </row>
    <row r="959" spans="1:21" ht="15.6" x14ac:dyDescent="0.3">
      <c r="A959" s="1"/>
      <c r="B959" s="3"/>
      <c r="C959" s="4" t="s">
        <v>478</v>
      </c>
      <c r="D959" s="3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5" t="s">
        <v>2</v>
      </c>
      <c r="Q959" s="54"/>
      <c r="R959" s="52"/>
      <c r="S959" s="1"/>
      <c r="T959" s="1"/>
      <c r="U959" s="1"/>
    </row>
    <row r="960" spans="1:21" ht="15.6" x14ac:dyDescent="0.3">
      <c r="A960" s="1"/>
      <c r="B960" s="3"/>
      <c r="C960" s="6">
        <v>46174</v>
      </c>
      <c r="D960" s="3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7">
        <v>0.89</v>
      </c>
      <c r="Q960" s="54"/>
      <c r="R960" s="52"/>
      <c r="S960" s="1"/>
      <c r="T960" s="1"/>
      <c r="U960" s="1"/>
    </row>
    <row r="961" spans="1:21" ht="42" x14ac:dyDescent="0.3">
      <c r="A961" s="1"/>
      <c r="B961" s="55" t="s">
        <v>3</v>
      </c>
      <c r="C961" s="55" t="s">
        <v>4</v>
      </c>
      <c r="D961" s="8" t="s">
        <v>5</v>
      </c>
      <c r="E961" s="8" t="s">
        <v>6</v>
      </c>
      <c r="F961" s="9" t="s">
        <v>7</v>
      </c>
      <c r="G961" s="9" t="s">
        <v>8</v>
      </c>
      <c r="H961" s="9" t="s">
        <v>9</v>
      </c>
      <c r="I961" s="10" t="s">
        <v>10</v>
      </c>
      <c r="J961" s="10" t="s">
        <v>11</v>
      </c>
      <c r="K961" s="11" t="s">
        <v>12</v>
      </c>
      <c r="L961" s="10" t="s">
        <v>13</v>
      </c>
      <c r="M961" s="11" t="s">
        <v>14</v>
      </c>
      <c r="N961" s="12" t="s">
        <v>15</v>
      </c>
      <c r="O961" s="57" t="s">
        <v>16</v>
      </c>
      <c r="P961" s="57" t="s">
        <v>17</v>
      </c>
      <c r="Q961" s="54"/>
      <c r="R961" s="52"/>
      <c r="S961" s="1"/>
      <c r="T961" s="1"/>
      <c r="U961" s="1"/>
    </row>
    <row r="962" spans="1:21" x14ac:dyDescent="0.3">
      <c r="A962" s="1"/>
      <c r="B962" s="56"/>
      <c r="C962" s="56"/>
      <c r="D962" s="13" t="s">
        <v>18</v>
      </c>
      <c r="E962" s="13" t="s">
        <v>18</v>
      </c>
      <c r="F962" s="13" t="s">
        <v>18</v>
      </c>
      <c r="G962" s="13" t="s">
        <v>18</v>
      </c>
      <c r="H962" s="13" t="s">
        <v>18</v>
      </c>
      <c r="I962" s="13" t="s">
        <v>18</v>
      </c>
      <c r="J962" s="13" t="s">
        <v>18</v>
      </c>
      <c r="K962" s="13" t="s">
        <v>18</v>
      </c>
      <c r="L962" s="13" t="s">
        <v>18</v>
      </c>
      <c r="M962" s="13" t="s">
        <v>18</v>
      </c>
      <c r="N962" s="14" t="s">
        <v>29</v>
      </c>
      <c r="O962" s="58"/>
      <c r="P962" s="58"/>
      <c r="Q962" s="54"/>
      <c r="R962" s="52"/>
      <c r="S962" s="1"/>
      <c r="T962" s="1"/>
      <c r="U962" s="1"/>
    </row>
    <row r="963" spans="1:21" x14ac:dyDescent="0.3">
      <c r="A963" s="1"/>
      <c r="B963" s="59" t="s">
        <v>20</v>
      </c>
      <c r="C963" s="60"/>
      <c r="D963" s="16">
        <v>0.1</v>
      </c>
      <c r="E963" s="16">
        <v>0.05</v>
      </c>
      <c r="F963" s="16">
        <v>0.1</v>
      </c>
      <c r="G963" s="16">
        <v>0.1</v>
      </c>
      <c r="H963" s="16">
        <v>0.05</v>
      </c>
      <c r="I963" s="17">
        <v>0.1</v>
      </c>
      <c r="J963" s="17">
        <v>0.35</v>
      </c>
      <c r="K963" s="17">
        <v>0.08</v>
      </c>
      <c r="L963" s="17">
        <v>0.02</v>
      </c>
      <c r="M963" s="17">
        <v>0.05</v>
      </c>
      <c r="N963" s="19">
        <v>1</v>
      </c>
      <c r="O963" s="20"/>
      <c r="P963" s="22"/>
      <c r="Q963" s="54"/>
      <c r="R963" s="52"/>
      <c r="S963" s="1"/>
      <c r="T963" s="1"/>
      <c r="U963" s="1"/>
    </row>
    <row r="964" spans="1:21" ht="18" x14ac:dyDescent="0.3">
      <c r="A964" s="1"/>
      <c r="B964" s="23">
        <v>1</v>
      </c>
      <c r="C964" s="24" t="s">
        <v>479</v>
      </c>
      <c r="D964" s="25">
        <v>0.98</v>
      </c>
      <c r="E964" s="25">
        <v>1</v>
      </c>
      <c r="F964" s="25">
        <v>1</v>
      </c>
      <c r="G964" s="25">
        <v>1</v>
      </c>
      <c r="H964" s="25">
        <v>1</v>
      </c>
      <c r="I964" s="25">
        <v>0.98</v>
      </c>
      <c r="J964" s="25">
        <v>1</v>
      </c>
      <c r="K964" s="25">
        <v>1</v>
      </c>
      <c r="L964" s="26">
        <v>1</v>
      </c>
      <c r="M964" s="26">
        <v>0.5</v>
      </c>
      <c r="N964" s="27">
        <v>0.97099999999999997</v>
      </c>
      <c r="O964" s="28">
        <v>0</v>
      </c>
      <c r="P964" s="27">
        <v>0.97099999999999997</v>
      </c>
      <c r="Q964" s="54"/>
      <c r="R964" s="52"/>
      <c r="S964" s="1"/>
      <c r="T964" s="1"/>
      <c r="U964" s="1"/>
    </row>
    <row r="965" spans="1:21" ht="18" x14ac:dyDescent="0.3">
      <c r="A965" s="1"/>
      <c r="B965" s="23">
        <v>2</v>
      </c>
      <c r="C965" s="24" t="s">
        <v>480</v>
      </c>
      <c r="D965" s="25">
        <v>1</v>
      </c>
      <c r="E965" s="25">
        <v>1</v>
      </c>
      <c r="F965" s="25">
        <v>1</v>
      </c>
      <c r="G965" s="25">
        <v>0.9899</v>
      </c>
      <c r="H965" s="25">
        <v>1</v>
      </c>
      <c r="I965" s="25">
        <v>0.99629999999999996</v>
      </c>
      <c r="J965" s="25">
        <v>0.8</v>
      </c>
      <c r="K965" s="25">
        <v>0</v>
      </c>
      <c r="L965" s="26">
        <v>0</v>
      </c>
      <c r="M965" s="26">
        <v>0.5</v>
      </c>
      <c r="N965" s="27">
        <v>0.80359999999999998</v>
      </c>
      <c r="O965" s="28">
        <v>0</v>
      </c>
      <c r="P965" s="27">
        <v>0.80359999999999998</v>
      </c>
      <c r="Q965" s="54"/>
      <c r="R965" s="52"/>
      <c r="S965" s="1"/>
      <c r="T965" s="1"/>
      <c r="U965" s="1"/>
    </row>
    <row r="966" spans="1:21" ht="18" x14ac:dyDescent="0.3">
      <c r="A966" s="1"/>
      <c r="B966" s="23">
        <v>3</v>
      </c>
      <c r="C966" s="24" t="s">
        <v>481</v>
      </c>
      <c r="D966" s="25">
        <v>1</v>
      </c>
      <c r="E966" s="25">
        <v>1</v>
      </c>
      <c r="F966" s="25">
        <v>1</v>
      </c>
      <c r="G966" s="25">
        <v>0.96779999999999999</v>
      </c>
      <c r="H966" s="25">
        <v>1</v>
      </c>
      <c r="I966" s="25">
        <v>0.99909999999999999</v>
      </c>
      <c r="J966" s="25">
        <v>0.8</v>
      </c>
      <c r="K966" s="25">
        <v>1</v>
      </c>
      <c r="L966" s="26">
        <v>0</v>
      </c>
      <c r="M966" s="26">
        <v>0.5</v>
      </c>
      <c r="N966" s="27">
        <v>0.88170000000000004</v>
      </c>
      <c r="O966" s="28">
        <v>0</v>
      </c>
      <c r="P966" s="27">
        <v>0.88170000000000004</v>
      </c>
      <c r="Q966" s="54"/>
      <c r="R966" s="52"/>
      <c r="S966" s="1"/>
      <c r="T966" s="1"/>
      <c r="U966" s="1"/>
    </row>
    <row r="967" spans="1:21" ht="18" x14ac:dyDescent="0.3">
      <c r="A967" s="1"/>
      <c r="B967" s="23">
        <v>4</v>
      </c>
      <c r="C967" s="24" t="s">
        <v>482</v>
      </c>
      <c r="D967" s="25">
        <v>1</v>
      </c>
      <c r="E967" s="25">
        <v>1</v>
      </c>
      <c r="F967" s="25">
        <v>1</v>
      </c>
      <c r="G967" s="25">
        <v>1</v>
      </c>
      <c r="H967" s="25">
        <v>1</v>
      </c>
      <c r="I967" s="25">
        <v>0.99660000000000004</v>
      </c>
      <c r="J967" s="25">
        <v>1</v>
      </c>
      <c r="K967" s="25">
        <v>0.5</v>
      </c>
      <c r="L967" s="26">
        <v>0</v>
      </c>
      <c r="M967" s="26">
        <v>1</v>
      </c>
      <c r="N967" s="27">
        <v>0.93969999999999998</v>
      </c>
      <c r="O967" s="28">
        <v>0</v>
      </c>
      <c r="P967" s="27">
        <v>0.93969999999999998</v>
      </c>
      <c r="Q967" s="54"/>
      <c r="R967" s="52"/>
      <c r="S967" s="1"/>
      <c r="T967" s="1"/>
      <c r="U967" s="1"/>
    </row>
    <row r="968" spans="1:21" ht="18" x14ac:dyDescent="0.3">
      <c r="A968" s="1"/>
      <c r="B968" s="23">
        <v>5</v>
      </c>
      <c r="C968" s="24" t="s">
        <v>483</v>
      </c>
      <c r="D968" s="25">
        <v>1</v>
      </c>
      <c r="E968" s="25">
        <v>1</v>
      </c>
      <c r="F968" s="25">
        <v>1</v>
      </c>
      <c r="G968" s="25">
        <v>0.93059999999999998</v>
      </c>
      <c r="H968" s="25">
        <v>0</v>
      </c>
      <c r="I968" s="25">
        <v>0.98319999999999996</v>
      </c>
      <c r="J968" s="25">
        <v>1</v>
      </c>
      <c r="K968" s="25">
        <v>0.5</v>
      </c>
      <c r="L968" s="26">
        <v>0</v>
      </c>
      <c r="M968" s="26">
        <v>1</v>
      </c>
      <c r="N968" s="27">
        <v>0.88139999999999996</v>
      </c>
      <c r="O968" s="28">
        <v>0</v>
      </c>
      <c r="P968" s="27">
        <v>0.88139999999999996</v>
      </c>
      <c r="Q968" s="54"/>
      <c r="R968" s="52"/>
      <c r="S968" s="1"/>
      <c r="T968" s="1"/>
      <c r="U968" s="1"/>
    </row>
    <row r="969" spans="1:21" ht="18" x14ac:dyDescent="0.3">
      <c r="A969" s="1"/>
      <c r="B969" s="23">
        <v>6</v>
      </c>
      <c r="C969" s="24" t="s">
        <v>484</v>
      </c>
      <c r="D969" s="25">
        <v>1</v>
      </c>
      <c r="E969" s="25">
        <v>1</v>
      </c>
      <c r="F969" s="25">
        <v>1</v>
      </c>
      <c r="G969" s="25">
        <v>0.89939999999999998</v>
      </c>
      <c r="H969" s="25">
        <v>0</v>
      </c>
      <c r="I969" s="25">
        <v>0.99790000000000001</v>
      </c>
      <c r="J969" s="25">
        <v>1</v>
      </c>
      <c r="K969" s="25">
        <v>0.5</v>
      </c>
      <c r="L969" s="26">
        <v>0</v>
      </c>
      <c r="M969" s="26">
        <v>1</v>
      </c>
      <c r="N969" s="27">
        <v>0.87970000000000004</v>
      </c>
      <c r="O969" s="28">
        <v>0</v>
      </c>
      <c r="P969" s="27">
        <v>0.87970000000000004</v>
      </c>
      <c r="Q969" s="54"/>
      <c r="R969" s="52"/>
      <c r="S969" s="1"/>
      <c r="T969" s="1"/>
      <c r="U969" s="1"/>
    </row>
    <row r="970" spans="1:21" x14ac:dyDescent="0.3">
      <c r="A970" s="1"/>
      <c r="B970" s="59" t="s">
        <v>27</v>
      </c>
      <c r="C970" s="60"/>
      <c r="D970" s="31">
        <v>1</v>
      </c>
      <c r="E970" s="31">
        <v>1</v>
      </c>
      <c r="F970" s="31">
        <v>1</v>
      </c>
      <c r="G970" s="31">
        <v>0.96</v>
      </c>
      <c r="H970" s="31">
        <v>0.67</v>
      </c>
      <c r="I970" s="31">
        <v>0.99</v>
      </c>
      <c r="J970" s="31">
        <v>0.93</v>
      </c>
      <c r="K970" s="31">
        <v>0.57999999999999996</v>
      </c>
      <c r="L970" s="31">
        <v>0.17</v>
      </c>
      <c r="M970" s="31">
        <v>0.75</v>
      </c>
      <c r="N970" s="31">
        <v>0.89</v>
      </c>
      <c r="O970" s="31">
        <v>0</v>
      </c>
      <c r="P970" s="31">
        <v>0.89</v>
      </c>
      <c r="Q970" s="54"/>
      <c r="R970" s="52"/>
      <c r="S970" s="1"/>
      <c r="T970" s="1"/>
      <c r="U970" s="1"/>
    </row>
    <row r="971" spans="1:2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52"/>
      <c r="R971" s="52"/>
      <c r="S971" s="1"/>
      <c r="T971" s="1"/>
      <c r="U971" s="1"/>
    </row>
    <row r="972" spans="1:2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52"/>
      <c r="R972" s="52"/>
      <c r="S972" s="1"/>
      <c r="T972" s="1"/>
      <c r="U972" s="1"/>
    </row>
    <row r="973" spans="1:21" ht="15.6" x14ac:dyDescent="0.3">
      <c r="A973" s="1"/>
      <c r="B973" s="3"/>
      <c r="C973" s="4" t="s">
        <v>485</v>
      </c>
      <c r="D973" s="3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5" t="s">
        <v>2</v>
      </c>
      <c r="Q973" s="54"/>
      <c r="R973" s="52"/>
      <c r="S973" s="1"/>
      <c r="T973" s="1"/>
      <c r="U973" s="1"/>
    </row>
    <row r="974" spans="1:21" ht="15.6" x14ac:dyDescent="0.3">
      <c r="A974" s="1"/>
      <c r="B974" s="3"/>
      <c r="C974" s="6">
        <v>46174</v>
      </c>
      <c r="D974" s="3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7">
        <v>0.96</v>
      </c>
      <c r="Q974" s="54"/>
      <c r="R974" s="52"/>
      <c r="S974" s="1"/>
      <c r="T974" s="1"/>
      <c r="U974" s="1"/>
    </row>
    <row r="975" spans="1:21" ht="42" x14ac:dyDescent="0.3">
      <c r="A975" s="1"/>
      <c r="B975" s="55" t="s">
        <v>3</v>
      </c>
      <c r="C975" s="55" t="s">
        <v>4</v>
      </c>
      <c r="D975" s="8" t="s">
        <v>5</v>
      </c>
      <c r="E975" s="8" t="s">
        <v>6</v>
      </c>
      <c r="F975" s="9" t="s">
        <v>7</v>
      </c>
      <c r="G975" s="9" t="s">
        <v>8</v>
      </c>
      <c r="H975" s="9" t="s">
        <v>9</v>
      </c>
      <c r="I975" s="10" t="s">
        <v>10</v>
      </c>
      <c r="J975" s="10" t="s">
        <v>11</v>
      </c>
      <c r="K975" s="11" t="s">
        <v>12</v>
      </c>
      <c r="L975" s="10" t="s">
        <v>13</v>
      </c>
      <c r="M975" s="11" t="s">
        <v>14</v>
      </c>
      <c r="N975" s="12" t="s">
        <v>15</v>
      </c>
      <c r="O975" s="57" t="s">
        <v>16</v>
      </c>
      <c r="P975" s="57" t="s">
        <v>17</v>
      </c>
      <c r="Q975" s="54"/>
      <c r="R975" s="52"/>
      <c r="S975" s="1"/>
      <c r="T975" s="1"/>
      <c r="U975" s="1"/>
    </row>
    <row r="976" spans="1:21" x14ac:dyDescent="0.3">
      <c r="A976" s="1"/>
      <c r="B976" s="56"/>
      <c r="C976" s="56"/>
      <c r="D976" s="13" t="s">
        <v>18</v>
      </c>
      <c r="E976" s="13" t="s">
        <v>18</v>
      </c>
      <c r="F976" s="13" t="s">
        <v>18</v>
      </c>
      <c r="G976" s="13" t="s">
        <v>18</v>
      </c>
      <c r="H976" s="13" t="s">
        <v>18</v>
      </c>
      <c r="I976" s="13" t="s">
        <v>18</v>
      </c>
      <c r="J976" s="13" t="s">
        <v>18</v>
      </c>
      <c r="K976" s="13" t="s">
        <v>18</v>
      </c>
      <c r="L976" s="13" t="s">
        <v>18</v>
      </c>
      <c r="M976" s="13" t="s">
        <v>18</v>
      </c>
      <c r="N976" s="14" t="s">
        <v>29</v>
      </c>
      <c r="O976" s="58"/>
      <c r="P976" s="58"/>
      <c r="Q976" s="54"/>
      <c r="R976" s="52"/>
      <c r="S976" s="1"/>
      <c r="T976" s="1"/>
      <c r="U976" s="1"/>
    </row>
    <row r="977" spans="1:21" x14ac:dyDescent="0.3">
      <c r="A977" s="1"/>
      <c r="B977" s="59" t="s">
        <v>20</v>
      </c>
      <c r="C977" s="60"/>
      <c r="D977" s="16">
        <v>0.1</v>
      </c>
      <c r="E977" s="16">
        <v>0.05</v>
      </c>
      <c r="F977" s="16">
        <v>0.1</v>
      </c>
      <c r="G977" s="16">
        <v>0.1</v>
      </c>
      <c r="H977" s="16">
        <v>0.05</v>
      </c>
      <c r="I977" s="17">
        <v>0.1</v>
      </c>
      <c r="J977" s="17">
        <v>0.35</v>
      </c>
      <c r="K977" s="17">
        <v>0.08</v>
      </c>
      <c r="L977" s="17">
        <v>0.02</v>
      </c>
      <c r="M977" s="17">
        <v>0.05</v>
      </c>
      <c r="N977" s="19">
        <v>1</v>
      </c>
      <c r="O977" s="20"/>
      <c r="P977" s="22"/>
      <c r="Q977" s="54"/>
      <c r="R977" s="52"/>
      <c r="S977" s="1"/>
      <c r="T977" s="1"/>
      <c r="U977" s="1"/>
    </row>
    <row r="978" spans="1:21" ht="18" x14ac:dyDescent="0.3">
      <c r="A978" s="1"/>
      <c r="B978" s="23">
        <v>1</v>
      </c>
      <c r="C978" s="24" t="s">
        <v>486</v>
      </c>
      <c r="D978" s="25">
        <v>1</v>
      </c>
      <c r="E978" s="25">
        <v>1</v>
      </c>
      <c r="F978" s="25">
        <v>1</v>
      </c>
      <c r="G978" s="25">
        <v>1</v>
      </c>
      <c r="H978" s="25">
        <v>1</v>
      </c>
      <c r="I978" s="25">
        <v>0.99399999999999999</v>
      </c>
      <c r="J978" s="25">
        <v>1</v>
      </c>
      <c r="K978" s="25">
        <v>1</v>
      </c>
      <c r="L978" s="26">
        <v>0</v>
      </c>
      <c r="M978" s="26">
        <v>1</v>
      </c>
      <c r="N978" s="27">
        <v>0.97940000000000005</v>
      </c>
      <c r="O978" s="28">
        <v>0</v>
      </c>
      <c r="P978" s="27">
        <v>0.97940000000000005</v>
      </c>
      <c r="Q978" s="54"/>
      <c r="R978" s="52"/>
      <c r="S978" s="1"/>
      <c r="T978" s="1"/>
      <c r="U978" s="1"/>
    </row>
    <row r="979" spans="1:21" ht="18" x14ac:dyDescent="0.3">
      <c r="A979" s="1"/>
      <c r="B979" s="23">
        <v>2</v>
      </c>
      <c r="C979" s="24" t="s">
        <v>487</v>
      </c>
      <c r="D979" s="25">
        <v>1</v>
      </c>
      <c r="E979" s="25">
        <v>1</v>
      </c>
      <c r="F979" s="25">
        <v>1</v>
      </c>
      <c r="G979" s="25">
        <v>1</v>
      </c>
      <c r="H979" s="25">
        <v>1</v>
      </c>
      <c r="I979" s="25">
        <v>1</v>
      </c>
      <c r="J979" s="25">
        <v>1</v>
      </c>
      <c r="K979" s="25">
        <v>1</v>
      </c>
      <c r="L979" s="26">
        <v>1</v>
      </c>
      <c r="M979" s="26">
        <v>1</v>
      </c>
      <c r="N979" s="27">
        <v>1</v>
      </c>
      <c r="O979" s="28">
        <v>0</v>
      </c>
      <c r="P979" s="27">
        <v>1</v>
      </c>
      <c r="Q979" s="54"/>
      <c r="R979" s="52"/>
      <c r="S979" s="1"/>
      <c r="T979" s="1"/>
      <c r="U979" s="1"/>
    </row>
    <row r="980" spans="1:21" ht="18" x14ac:dyDescent="0.3">
      <c r="A980" s="1"/>
      <c r="B980" s="23">
        <v>3</v>
      </c>
      <c r="C980" s="24" t="s">
        <v>488</v>
      </c>
      <c r="D980" s="25">
        <v>1</v>
      </c>
      <c r="E980" s="25">
        <v>1</v>
      </c>
      <c r="F980" s="25">
        <v>1</v>
      </c>
      <c r="G980" s="25">
        <v>1</v>
      </c>
      <c r="H980" s="25">
        <v>1</v>
      </c>
      <c r="I980" s="25">
        <v>1</v>
      </c>
      <c r="J980" s="25">
        <v>0.8</v>
      </c>
      <c r="K980" s="25">
        <v>1</v>
      </c>
      <c r="L980" s="26">
        <v>0</v>
      </c>
      <c r="M980" s="26">
        <v>1</v>
      </c>
      <c r="N980" s="27">
        <v>0.91</v>
      </c>
      <c r="O980" s="28">
        <v>0</v>
      </c>
      <c r="P980" s="27">
        <v>0.91</v>
      </c>
      <c r="Q980" s="54"/>
      <c r="R980" s="52"/>
      <c r="S980" s="1"/>
      <c r="T980" s="1"/>
      <c r="U980" s="1"/>
    </row>
    <row r="981" spans="1:21" ht="18" x14ac:dyDescent="0.3">
      <c r="A981" s="1"/>
      <c r="B981" s="23">
        <v>4</v>
      </c>
      <c r="C981" s="24" t="s">
        <v>489</v>
      </c>
      <c r="D981" s="25">
        <v>1</v>
      </c>
      <c r="E981" s="25">
        <v>0.98</v>
      </c>
      <c r="F981" s="25">
        <v>1</v>
      </c>
      <c r="G981" s="25">
        <v>1</v>
      </c>
      <c r="H981" s="25">
        <v>1</v>
      </c>
      <c r="I981" s="25">
        <v>1</v>
      </c>
      <c r="J981" s="25">
        <v>1</v>
      </c>
      <c r="K981" s="25">
        <v>1</v>
      </c>
      <c r="L981" s="26">
        <v>0</v>
      </c>
      <c r="M981" s="26">
        <v>1</v>
      </c>
      <c r="N981" s="27">
        <v>0.97899999999999998</v>
      </c>
      <c r="O981" s="28">
        <v>0</v>
      </c>
      <c r="P981" s="27">
        <v>0.97899999999999998</v>
      </c>
      <c r="Q981" s="54"/>
      <c r="R981" s="52"/>
      <c r="S981" s="1"/>
      <c r="T981" s="1"/>
      <c r="U981" s="1"/>
    </row>
    <row r="982" spans="1:21" ht="18" x14ac:dyDescent="0.3">
      <c r="A982" s="1"/>
      <c r="B982" s="23">
        <v>5</v>
      </c>
      <c r="C982" s="24" t="s">
        <v>490</v>
      </c>
      <c r="D982" s="25">
        <v>0.98</v>
      </c>
      <c r="E982" s="25">
        <v>1</v>
      </c>
      <c r="F982" s="25">
        <v>1</v>
      </c>
      <c r="G982" s="25">
        <v>1</v>
      </c>
      <c r="H982" s="25">
        <v>1</v>
      </c>
      <c r="I982" s="25">
        <v>1</v>
      </c>
      <c r="J982" s="25">
        <v>1</v>
      </c>
      <c r="K982" s="25">
        <v>0.5</v>
      </c>
      <c r="L982" s="26">
        <v>0</v>
      </c>
      <c r="M982" s="26">
        <v>1</v>
      </c>
      <c r="N982" s="27">
        <v>0.93799999999999994</v>
      </c>
      <c r="O982" s="28">
        <v>0</v>
      </c>
      <c r="P982" s="27">
        <v>0.93799999999999994</v>
      </c>
      <c r="Q982" s="54"/>
      <c r="R982" s="52"/>
      <c r="S982" s="1"/>
      <c r="T982" s="1"/>
      <c r="U982" s="1"/>
    </row>
    <row r="983" spans="1:21" ht="18" x14ac:dyDescent="0.3">
      <c r="A983" s="1"/>
      <c r="B983" s="23">
        <v>6</v>
      </c>
      <c r="C983" s="24" t="s">
        <v>491</v>
      </c>
      <c r="D983" s="25">
        <v>1</v>
      </c>
      <c r="E983" s="25">
        <v>1</v>
      </c>
      <c r="F983" s="25">
        <v>1</v>
      </c>
      <c r="G983" s="25">
        <v>1</v>
      </c>
      <c r="H983" s="25">
        <v>1</v>
      </c>
      <c r="I983" s="25">
        <v>1</v>
      </c>
      <c r="J983" s="25">
        <v>0.8</v>
      </c>
      <c r="K983" s="25">
        <v>1</v>
      </c>
      <c r="L983" s="26">
        <v>1</v>
      </c>
      <c r="M983" s="26">
        <v>1</v>
      </c>
      <c r="N983" s="27">
        <v>0.93</v>
      </c>
      <c r="O983" s="28">
        <v>0</v>
      </c>
      <c r="P983" s="27">
        <v>0.93</v>
      </c>
      <c r="Q983" s="54"/>
      <c r="R983" s="52"/>
      <c r="S983" s="1"/>
      <c r="T983" s="1"/>
      <c r="U983" s="1"/>
    </row>
    <row r="984" spans="1:21" x14ac:dyDescent="0.3">
      <c r="A984" s="1"/>
      <c r="B984" s="59" t="s">
        <v>27</v>
      </c>
      <c r="C984" s="60"/>
      <c r="D984" s="31">
        <v>1</v>
      </c>
      <c r="E984" s="31">
        <v>1</v>
      </c>
      <c r="F984" s="31">
        <v>1</v>
      </c>
      <c r="G984" s="31">
        <v>1</v>
      </c>
      <c r="H984" s="31">
        <v>1</v>
      </c>
      <c r="I984" s="31">
        <v>1</v>
      </c>
      <c r="J984" s="31">
        <v>0.93</v>
      </c>
      <c r="K984" s="31">
        <v>0.92</v>
      </c>
      <c r="L984" s="31">
        <v>0.33</v>
      </c>
      <c r="M984" s="31">
        <v>1</v>
      </c>
      <c r="N984" s="31">
        <v>0.96</v>
      </c>
      <c r="O984" s="31">
        <v>0</v>
      </c>
      <c r="P984" s="31">
        <v>0.96</v>
      </c>
      <c r="Q984" s="54"/>
      <c r="R984" s="52"/>
      <c r="S984" s="1"/>
      <c r="T984" s="1"/>
      <c r="U984" s="1"/>
    </row>
    <row r="985" spans="1:2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52"/>
      <c r="R985" s="52"/>
      <c r="S985" s="1"/>
      <c r="T985" s="1"/>
      <c r="U985" s="1"/>
    </row>
    <row r="986" spans="1:2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52"/>
      <c r="R986" s="52"/>
      <c r="S986" s="1"/>
      <c r="T986" s="1"/>
      <c r="U986" s="1"/>
    </row>
    <row r="987" spans="1:21" ht="15.6" x14ac:dyDescent="0.3">
      <c r="A987" s="1"/>
      <c r="B987" s="3"/>
      <c r="C987" s="4" t="s">
        <v>492</v>
      </c>
      <c r="D987" s="3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5" t="s">
        <v>2</v>
      </c>
      <c r="Q987" s="54"/>
      <c r="R987" s="52"/>
      <c r="S987" s="1"/>
      <c r="T987" s="1"/>
      <c r="U987" s="1"/>
    </row>
    <row r="988" spans="1:21" ht="15.6" x14ac:dyDescent="0.3">
      <c r="A988" s="1"/>
      <c r="B988" s="3"/>
      <c r="C988" s="6">
        <v>46174</v>
      </c>
      <c r="D988" s="3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7">
        <v>0.93</v>
      </c>
      <c r="Q988" s="54"/>
      <c r="R988" s="52"/>
      <c r="S988" s="1"/>
      <c r="T988" s="1"/>
      <c r="U988" s="1"/>
    </row>
    <row r="989" spans="1:21" ht="42" x14ac:dyDescent="0.3">
      <c r="A989" s="1"/>
      <c r="B989" s="55" t="s">
        <v>3</v>
      </c>
      <c r="C989" s="55" t="s">
        <v>4</v>
      </c>
      <c r="D989" s="8" t="s">
        <v>5</v>
      </c>
      <c r="E989" s="8" t="s">
        <v>6</v>
      </c>
      <c r="F989" s="9" t="s">
        <v>7</v>
      </c>
      <c r="G989" s="9" t="s">
        <v>8</v>
      </c>
      <c r="H989" s="9" t="s">
        <v>9</v>
      </c>
      <c r="I989" s="10" t="s">
        <v>10</v>
      </c>
      <c r="J989" s="10" t="s">
        <v>11</v>
      </c>
      <c r="K989" s="11" t="s">
        <v>12</v>
      </c>
      <c r="L989" s="10" t="s">
        <v>13</v>
      </c>
      <c r="M989" s="11" t="s">
        <v>14</v>
      </c>
      <c r="N989" s="12" t="s">
        <v>15</v>
      </c>
      <c r="O989" s="57" t="s">
        <v>16</v>
      </c>
      <c r="P989" s="57" t="s">
        <v>17</v>
      </c>
      <c r="Q989" s="54"/>
      <c r="R989" s="52"/>
      <c r="S989" s="1"/>
      <c r="T989" s="1"/>
      <c r="U989" s="1"/>
    </row>
    <row r="990" spans="1:21" x14ac:dyDescent="0.3">
      <c r="A990" s="1"/>
      <c r="B990" s="56"/>
      <c r="C990" s="56"/>
      <c r="D990" s="13" t="s">
        <v>18</v>
      </c>
      <c r="E990" s="13" t="s">
        <v>18</v>
      </c>
      <c r="F990" s="13" t="s">
        <v>18</v>
      </c>
      <c r="G990" s="13" t="s">
        <v>18</v>
      </c>
      <c r="H990" s="13" t="s">
        <v>18</v>
      </c>
      <c r="I990" s="13" t="s">
        <v>18</v>
      </c>
      <c r="J990" s="13" t="s">
        <v>18</v>
      </c>
      <c r="K990" s="13" t="s">
        <v>18</v>
      </c>
      <c r="L990" s="13" t="s">
        <v>18</v>
      </c>
      <c r="M990" s="13" t="s">
        <v>18</v>
      </c>
      <c r="N990" s="14" t="s">
        <v>29</v>
      </c>
      <c r="O990" s="58"/>
      <c r="P990" s="58"/>
      <c r="Q990" s="54"/>
      <c r="R990" s="52"/>
      <c r="S990" s="1"/>
      <c r="T990" s="1"/>
      <c r="U990" s="1"/>
    </row>
    <row r="991" spans="1:21" x14ac:dyDescent="0.3">
      <c r="A991" s="1"/>
      <c r="B991" s="59" t="s">
        <v>20</v>
      </c>
      <c r="C991" s="60"/>
      <c r="D991" s="16">
        <v>0.1</v>
      </c>
      <c r="E991" s="16">
        <v>0.05</v>
      </c>
      <c r="F991" s="16">
        <v>0.1</v>
      </c>
      <c r="G991" s="16">
        <v>0.1</v>
      </c>
      <c r="H991" s="16">
        <v>0.05</v>
      </c>
      <c r="I991" s="17">
        <v>0.1</v>
      </c>
      <c r="J991" s="17">
        <v>0.35</v>
      </c>
      <c r="K991" s="17">
        <v>0.08</v>
      </c>
      <c r="L991" s="17">
        <v>0.02</v>
      </c>
      <c r="M991" s="17">
        <v>0.05</v>
      </c>
      <c r="N991" s="19">
        <v>1</v>
      </c>
      <c r="O991" s="20"/>
      <c r="P991" s="22"/>
      <c r="Q991" s="54"/>
      <c r="R991" s="52"/>
      <c r="S991" s="1"/>
      <c r="T991" s="1"/>
      <c r="U991" s="1"/>
    </row>
    <row r="992" spans="1:21" x14ac:dyDescent="0.3">
      <c r="A992" s="1"/>
      <c r="B992" s="23">
        <v>1</v>
      </c>
      <c r="C992" s="37" t="s">
        <v>493</v>
      </c>
      <c r="D992" s="25">
        <v>1</v>
      </c>
      <c r="E992" s="25">
        <v>1</v>
      </c>
      <c r="F992" s="25">
        <v>1</v>
      </c>
      <c r="G992" s="25">
        <v>1</v>
      </c>
      <c r="H992" s="25">
        <v>1</v>
      </c>
      <c r="I992" s="25">
        <v>0.99399999999999999</v>
      </c>
      <c r="J992" s="25">
        <v>1</v>
      </c>
      <c r="K992" s="25">
        <v>1</v>
      </c>
      <c r="L992" s="26">
        <v>0</v>
      </c>
      <c r="M992" s="26">
        <v>1</v>
      </c>
      <c r="N992" s="27">
        <v>0.97940000000000005</v>
      </c>
      <c r="O992" s="28">
        <v>0</v>
      </c>
      <c r="P992" s="27">
        <v>0.97940000000000005</v>
      </c>
      <c r="Q992" s="54"/>
      <c r="R992" s="52"/>
      <c r="S992" s="1"/>
      <c r="T992" s="1"/>
      <c r="U992" s="1"/>
    </row>
    <row r="993" spans="1:21" x14ac:dyDescent="0.3">
      <c r="A993" s="1"/>
      <c r="B993" s="23">
        <v>2</v>
      </c>
      <c r="C993" s="37" t="s">
        <v>494</v>
      </c>
      <c r="D993" s="25">
        <v>1</v>
      </c>
      <c r="E993" s="25">
        <v>1</v>
      </c>
      <c r="F993" s="25">
        <v>1</v>
      </c>
      <c r="G993" s="25">
        <v>1</v>
      </c>
      <c r="H993" s="25">
        <v>1</v>
      </c>
      <c r="I993" s="25">
        <v>1</v>
      </c>
      <c r="J993" s="25">
        <v>1</v>
      </c>
      <c r="K993" s="25">
        <v>1</v>
      </c>
      <c r="L993" s="26">
        <v>0</v>
      </c>
      <c r="M993" s="26">
        <v>1</v>
      </c>
      <c r="N993" s="27">
        <v>0.98</v>
      </c>
      <c r="O993" s="28">
        <v>0</v>
      </c>
      <c r="P993" s="27">
        <v>0.98</v>
      </c>
      <c r="Q993" s="54"/>
      <c r="R993" s="52"/>
      <c r="S993" s="1"/>
      <c r="T993" s="1"/>
      <c r="U993" s="1"/>
    </row>
    <row r="994" spans="1:21" x14ac:dyDescent="0.3">
      <c r="A994" s="1"/>
      <c r="B994" s="23">
        <v>3</v>
      </c>
      <c r="C994" s="37" t="s">
        <v>495</v>
      </c>
      <c r="D994" s="25">
        <v>1</v>
      </c>
      <c r="E994" s="25">
        <v>1</v>
      </c>
      <c r="F994" s="25">
        <v>1</v>
      </c>
      <c r="G994" s="25">
        <v>1</v>
      </c>
      <c r="H994" s="25">
        <v>1</v>
      </c>
      <c r="I994" s="25">
        <v>1</v>
      </c>
      <c r="J994" s="25">
        <v>0.8</v>
      </c>
      <c r="K994" s="25">
        <v>1</v>
      </c>
      <c r="L994" s="26">
        <v>0</v>
      </c>
      <c r="M994" s="26">
        <v>1</v>
      </c>
      <c r="N994" s="27">
        <v>0.91</v>
      </c>
      <c r="O994" s="28">
        <v>0</v>
      </c>
      <c r="P994" s="27">
        <v>0.91</v>
      </c>
      <c r="Q994" s="54"/>
      <c r="R994" s="52"/>
      <c r="S994" s="1"/>
      <c r="T994" s="1"/>
      <c r="U994" s="1"/>
    </row>
    <row r="995" spans="1:21" x14ac:dyDescent="0.3">
      <c r="A995" s="1"/>
      <c r="B995" s="23">
        <v>4</v>
      </c>
      <c r="C995" s="37" t="s">
        <v>496</v>
      </c>
      <c r="D995" s="25">
        <v>0.98</v>
      </c>
      <c r="E995" s="25">
        <v>1</v>
      </c>
      <c r="F995" s="25">
        <v>1</v>
      </c>
      <c r="G995" s="25">
        <v>1</v>
      </c>
      <c r="H995" s="25">
        <v>1</v>
      </c>
      <c r="I995" s="25">
        <v>0.97219999999999995</v>
      </c>
      <c r="J995" s="25">
        <v>0.8</v>
      </c>
      <c r="K995" s="25">
        <v>0.5</v>
      </c>
      <c r="L995" s="26">
        <v>1</v>
      </c>
      <c r="M995" s="26">
        <v>1</v>
      </c>
      <c r="N995" s="27">
        <v>0.88519999999999999</v>
      </c>
      <c r="O995" s="28">
        <v>0</v>
      </c>
      <c r="P995" s="27">
        <v>0.88519999999999999</v>
      </c>
      <c r="Q995" s="54"/>
      <c r="R995" s="52"/>
      <c r="S995" s="1"/>
      <c r="T995" s="1"/>
      <c r="U995" s="1"/>
    </row>
    <row r="996" spans="1:21" x14ac:dyDescent="0.3">
      <c r="A996" s="1"/>
      <c r="B996" s="23">
        <v>5</v>
      </c>
      <c r="C996" s="37" t="s">
        <v>497</v>
      </c>
      <c r="D996" s="25">
        <v>0.98</v>
      </c>
      <c r="E996" s="25">
        <v>0.99</v>
      </c>
      <c r="F996" s="25">
        <v>1</v>
      </c>
      <c r="G996" s="25">
        <v>1</v>
      </c>
      <c r="H996" s="25">
        <v>1</v>
      </c>
      <c r="I996" s="25">
        <v>1</v>
      </c>
      <c r="J996" s="25">
        <v>0.8</v>
      </c>
      <c r="K996" s="25">
        <v>1</v>
      </c>
      <c r="L996" s="26">
        <v>0</v>
      </c>
      <c r="M996" s="26">
        <v>1</v>
      </c>
      <c r="N996" s="27">
        <v>0.90749999999999997</v>
      </c>
      <c r="O996" s="28">
        <v>0</v>
      </c>
      <c r="P996" s="27">
        <v>0.90749999999999997</v>
      </c>
      <c r="Q996" s="54"/>
      <c r="R996" s="52"/>
      <c r="S996" s="1"/>
      <c r="T996" s="1"/>
      <c r="U996" s="1"/>
    </row>
    <row r="997" spans="1:21" x14ac:dyDescent="0.3">
      <c r="A997" s="1"/>
      <c r="B997" s="59" t="s">
        <v>27</v>
      </c>
      <c r="C997" s="60"/>
      <c r="D997" s="31">
        <v>0.99</v>
      </c>
      <c r="E997" s="31">
        <v>1</v>
      </c>
      <c r="F997" s="31">
        <v>1</v>
      </c>
      <c r="G997" s="31">
        <v>1</v>
      </c>
      <c r="H997" s="31">
        <v>1</v>
      </c>
      <c r="I997" s="31">
        <v>0.99</v>
      </c>
      <c r="J997" s="31">
        <v>0.88</v>
      </c>
      <c r="K997" s="31">
        <v>0.9</v>
      </c>
      <c r="L997" s="31">
        <v>0.2</v>
      </c>
      <c r="M997" s="31">
        <v>1</v>
      </c>
      <c r="N997" s="31">
        <v>0.93</v>
      </c>
      <c r="O997" s="31">
        <v>0</v>
      </c>
      <c r="P997" s="31">
        <v>0.93</v>
      </c>
      <c r="Q997" s="54"/>
      <c r="R997" s="52"/>
      <c r="S997" s="1"/>
      <c r="T997" s="1"/>
      <c r="U997" s="1"/>
    </row>
    <row r="998" spans="1:2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52"/>
      <c r="R998" s="52"/>
      <c r="S998" s="1"/>
      <c r="T998" s="1"/>
      <c r="U998" s="1"/>
    </row>
    <row r="999" spans="1:2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52"/>
      <c r="R999" s="52"/>
      <c r="S999" s="1"/>
      <c r="T999" s="1"/>
      <c r="U999" s="1"/>
    </row>
    <row r="1000" spans="1:21" ht="15.6" x14ac:dyDescent="0.3">
      <c r="A1000" s="1"/>
      <c r="B1000" s="3"/>
      <c r="C1000" s="4" t="s">
        <v>498</v>
      </c>
      <c r="D1000" s="3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5" t="s">
        <v>2</v>
      </c>
      <c r="Q1000" s="54"/>
      <c r="R1000" s="52"/>
      <c r="S1000" s="1"/>
      <c r="T1000" s="1"/>
      <c r="U1000" s="1"/>
    </row>
    <row r="1001" spans="1:21" ht="15.6" x14ac:dyDescent="0.3">
      <c r="A1001" s="1"/>
      <c r="B1001" s="3"/>
      <c r="C1001" s="6">
        <v>46174</v>
      </c>
      <c r="D1001" s="3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7">
        <v>0.97</v>
      </c>
      <c r="Q1001" s="54"/>
      <c r="R1001" s="52"/>
      <c r="S1001" s="1"/>
      <c r="T1001" s="1"/>
      <c r="U1001" s="1"/>
    </row>
    <row r="1002" spans="1:21" ht="42" x14ac:dyDescent="0.3">
      <c r="A1002" s="1"/>
      <c r="B1002" s="55" t="s">
        <v>3</v>
      </c>
      <c r="C1002" s="55" t="s">
        <v>4</v>
      </c>
      <c r="D1002" s="8" t="s">
        <v>5</v>
      </c>
      <c r="E1002" s="8" t="s">
        <v>6</v>
      </c>
      <c r="F1002" s="9" t="s">
        <v>7</v>
      </c>
      <c r="G1002" s="9" t="s">
        <v>8</v>
      </c>
      <c r="H1002" s="9" t="s">
        <v>9</v>
      </c>
      <c r="I1002" s="10" t="s">
        <v>10</v>
      </c>
      <c r="J1002" s="10" t="s">
        <v>11</v>
      </c>
      <c r="K1002" s="11" t="s">
        <v>12</v>
      </c>
      <c r="L1002" s="10" t="s">
        <v>13</v>
      </c>
      <c r="M1002" s="11" t="s">
        <v>14</v>
      </c>
      <c r="N1002" s="12" t="s">
        <v>15</v>
      </c>
      <c r="O1002" s="57" t="s">
        <v>16</v>
      </c>
      <c r="P1002" s="57" t="s">
        <v>17</v>
      </c>
      <c r="Q1002" s="54"/>
      <c r="R1002" s="52"/>
      <c r="S1002" s="1"/>
      <c r="T1002" s="1"/>
      <c r="U1002" s="1"/>
    </row>
    <row r="1003" spans="1:21" x14ac:dyDescent="0.3">
      <c r="A1003" s="1"/>
      <c r="B1003" s="56"/>
      <c r="C1003" s="56"/>
      <c r="D1003" s="13" t="s">
        <v>18</v>
      </c>
      <c r="E1003" s="13" t="s">
        <v>18</v>
      </c>
      <c r="F1003" s="13" t="s">
        <v>18</v>
      </c>
      <c r="G1003" s="13" t="s">
        <v>18</v>
      </c>
      <c r="H1003" s="13" t="s">
        <v>18</v>
      </c>
      <c r="I1003" s="13" t="s">
        <v>18</v>
      </c>
      <c r="J1003" s="13" t="s">
        <v>18</v>
      </c>
      <c r="K1003" s="13" t="s">
        <v>18</v>
      </c>
      <c r="L1003" s="13" t="s">
        <v>18</v>
      </c>
      <c r="M1003" s="13" t="s">
        <v>18</v>
      </c>
      <c r="N1003" s="14" t="s">
        <v>29</v>
      </c>
      <c r="O1003" s="58"/>
      <c r="P1003" s="58"/>
      <c r="Q1003" s="54"/>
      <c r="R1003" s="52"/>
      <c r="S1003" s="1"/>
      <c r="T1003" s="1"/>
      <c r="U1003" s="1"/>
    </row>
    <row r="1004" spans="1:21" x14ac:dyDescent="0.3">
      <c r="A1004" s="1"/>
      <c r="B1004" s="59" t="s">
        <v>20</v>
      </c>
      <c r="C1004" s="60"/>
      <c r="D1004" s="16">
        <v>0.1</v>
      </c>
      <c r="E1004" s="16">
        <v>0.05</v>
      </c>
      <c r="F1004" s="16">
        <v>0.1</v>
      </c>
      <c r="G1004" s="16">
        <v>0.1</v>
      </c>
      <c r="H1004" s="16">
        <v>0.05</v>
      </c>
      <c r="I1004" s="17">
        <v>0.1</v>
      </c>
      <c r="J1004" s="17">
        <v>0.35</v>
      </c>
      <c r="K1004" s="17">
        <v>0.08</v>
      </c>
      <c r="L1004" s="17">
        <v>0.02</v>
      </c>
      <c r="M1004" s="17">
        <v>0.05</v>
      </c>
      <c r="N1004" s="19">
        <v>1</v>
      </c>
      <c r="O1004" s="20"/>
      <c r="P1004" s="22"/>
      <c r="Q1004" s="54"/>
      <c r="R1004" s="52"/>
      <c r="S1004" s="1"/>
      <c r="T1004" s="1"/>
      <c r="U1004" s="1"/>
    </row>
    <row r="1005" spans="1:21" x14ac:dyDescent="0.3">
      <c r="A1005" s="1"/>
      <c r="B1005" s="23">
        <v>1</v>
      </c>
      <c r="C1005" s="46" t="s">
        <v>499</v>
      </c>
      <c r="D1005" s="25">
        <v>1</v>
      </c>
      <c r="E1005" s="25">
        <v>1</v>
      </c>
      <c r="F1005" s="25">
        <v>1</v>
      </c>
      <c r="G1005" s="25">
        <v>1</v>
      </c>
      <c r="H1005" s="25">
        <v>1</v>
      </c>
      <c r="I1005" s="25">
        <v>1</v>
      </c>
      <c r="J1005" s="25">
        <v>1</v>
      </c>
      <c r="K1005" s="25">
        <v>1</v>
      </c>
      <c r="L1005" s="26">
        <v>0</v>
      </c>
      <c r="M1005" s="26">
        <v>0</v>
      </c>
      <c r="N1005" s="27">
        <v>0.97889999999999999</v>
      </c>
      <c r="O1005" s="28">
        <v>0</v>
      </c>
      <c r="P1005" s="27">
        <v>0.97889999999999999</v>
      </c>
      <c r="Q1005" s="54"/>
      <c r="R1005" s="52"/>
      <c r="S1005" s="1"/>
      <c r="T1005" s="1"/>
      <c r="U1005" s="1"/>
    </row>
    <row r="1006" spans="1:21" x14ac:dyDescent="0.3">
      <c r="A1006" s="1"/>
      <c r="B1006" s="23">
        <v>2</v>
      </c>
      <c r="C1006" s="46" t="s">
        <v>500</v>
      </c>
      <c r="D1006" s="25">
        <v>0.98</v>
      </c>
      <c r="E1006" s="25">
        <v>1</v>
      </c>
      <c r="F1006" s="25">
        <v>1</v>
      </c>
      <c r="G1006" s="25">
        <v>0.97289999999999999</v>
      </c>
      <c r="H1006" s="25">
        <v>1</v>
      </c>
      <c r="I1006" s="25">
        <v>1</v>
      </c>
      <c r="J1006" s="25">
        <v>1</v>
      </c>
      <c r="K1006" s="25">
        <v>0.5</v>
      </c>
      <c r="L1006" s="26">
        <v>0</v>
      </c>
      <c r="M1006" s="26">
        <v>0</v>
      </c>
      <c r="N1006" s="27">
        <v>0.93189999999999995</v>
      </c>
      <c r="O1006" s="28">
        <v>0</v>
      </c>
      <c r="P1006" s="27">
        <v>0.93189999999999995</v>
      </c>
      <c r="Q1006" s="54"/>
      <c r="R1006" s="52"/>
      <c r="S1006" s="1"/>
      <c r="T1006" s="1"/>
      <c r="U1006" s="1"/>
    </row>
    <row r="1007" spans="1:21" x14ac:dyDescent="0.3">
      <c r="A1007" s="1"/>
      <c r="B1007" s="23">
        <v>3</v>
      </c>
      <c r="C1007" s="46" t="s">
        <v>501</v>
      </c>
      <c r="D1007" s="25">
        <v>1</v>
      </c>
      <c r="E1007" s="25">
        <v>1</v>
      </c>
      <c r="F1007" s="25">
        <v>1</v>
      </c>
      <c r="G1007" s="25">
        <v>1</v>
      </c>
      <c r="H1007" s="25">
        <v>1</v>
      </c>
      <c r="I1007" s="25">
        <v>1</v>
      </c>
      <c r="J1007" s="25">
        <v>1</v>
      </c>
      <c r="K1007" s="25">
        <v>1</v>
      </c>
      <c r="L1007" s="26">
        <v>1</v>
      </c>
      <c r="M1007" s="26">
        <v>0</v>
      </c>
      <c r="N1007" s="27">
        <v>1</v>
      </c>
      <c r="O1007" s="28">
        <v>0</v>
      </c>
      <c r="P1007" s="27">
        <v>1</v>
      </c>
      <c r="Q1007" s="54"/>
      <c r="R1007" s="52"/>
      <c r="S1007" s="1"/>
      <c r="T1007" s="1"/>
      <c r="U1007" s="1"/>
    </row>
    <row r="1008" spans="1:21" x14ac:dyDescent="0.3">
      <c r="A1008" s="1"/>
      <c r="B1008" s="23">
        <v>4</v>
      </c>
      <c r="C1008" s="47" t="s">
        <v>502</v>
      </c>
      <c r="D1008" s="25">
        <v>0.98</v>
      </c>
      <c r="E1008" s="25">
        <v>1</v>
      </c>
      <c r="F1008" s="25">
        <v>1</v>
      </c>
      <c r="G1008" s="25">
        <v>1</v>
      </c>
      <c r="H1008" s="25">
        <v>1</v>
      </c>
      <c r="I1008" s="25">
        <v>1</v>
      </c>
      <c r="J1008" s="25">
        <v>1</v>
      </c>
      <c r="K1008" s="25">
        <v>1</v>
      </c>
      <c r="L1008" s="26">
        <v>0</v>
      </c>
      <c r="M1008" s="26">
        <v>0</v>
      </c>
      <c r="N1008" s="27">
        <v>0.9768</v>
      </c>
      <c r="O1008" s="28">
        <v>0</v>
      </c>
      <c r="P1008" s="27">
        <v>0.9768</v>
      </c>
      <c r="Q1008" s="54"/>
      <c r="R1008" s="52"/>
      <c r="S1008" s="1"/>
      <c r="T1008" s="1"/>
      <c r="U1008" s="1"/>
    </row>
    <row r="1009" spans="1:21" x14ac:dyDescent="0.3">
      <c r="A1009" s="1"/>
      <c r="B1009" s="23">
        <v>5</v>
      </c>
      <c r="C1009" s="46" t="s">
        <v>503</v>
      </c>
      <c r="D1009" s="25">
        <v>0.96</v>
      </c>
      <c r="E1009" s="25">
        <v>1</v>
      </c>
      <c r="F1009" s="25">
        <v>1</v>
      </c>
      <c r="G1009" s="25">
        <v>1</v>
      </c>
      <c r="H1009" s="25">
        <v>1</v>
      </c>
      <c r="I1009" s="25">
        <v>1</v>
      </c>
      <c r="J1009" s="25">
        <v>1</v>
      </c>
      <c r="K1009" s="25">
        <v>1</v>
      </c>
      <c r="L1009" s="26">
        <v>0</v>
      </c>
      <c r="M1009" s="26">
        <v>0</v>
      </c>
      <c r="N1009" s="27">
        <v>0.97470000000000001</v>
      </c>
      <c r="O1009" s="28">
        <v>0</v>
      </c>
      <c r="P1009" s="27">
        <v>0.97470000000000001</v>
      </c>
      <c r="Q1009" s="54"/>
      <c r="R1009" s="52"/>
      <c r="S1009" s="1"/>
      <c r="T1009" s="1"/>
      <c r="U1009" s="1"/>
    </row>
    <row r="1010" spans="1:21" x14ac:dyDescent="0.3">
      <c r="A1010" s="1"/>
      <c r="B1010" s="23">
        <v>6</v>
      </c>
      <c r="C1010" s="46" t="s">
        <v>504</v>
      </c>
      <c r="D1010" s="25">
        <v>0.98</v>
      </c>
      <c r="E1010" s="25">
        <v>0.98</v>
      </c>
      <c r="F1010" s="25">
        <v>1</v>
      </c>
      <c r="G1010" s="25">
        <v>0.96899999999999997</v>
      </c>
      <c r="H1010" s="25">
        <v>1</v>
      </c>
      <c r="I1010" s="25">
        <v>1</v>
      </c>
      <c r="J1010" s="25">
        <v>1</v>
      </c>
      <c r="K1010" s="25">
        <v>0.5</v>
      </c>
      <c r="L1010" s="26">
        <v>0</v>
      </c>
      <c r="M1010" s="26">
        <v>0</v>
      </c>
      <c r="N1010" s="27">
        <v>0.9304</v>
      </c>
      <c r="O1010" s="28">
        <v>0</v>
      </c>
      <c r="P1010" s="27">
        <v>0.9304</v>
      </c>
      <c r="Q1010" s="54"/>
      <c r="R1010" s="52"/>
      <c r="S1010" s="1"/>
      <c r="T1010" s="1"/>
      <c r="U1010" s="1"/>
    </row>
    <row r="1011" spans="1:21" x14ac:dyDescent="0.3">
      <c r="A1011" s="1"/>
      <c r="B1011" s="59" t="s">
        <v>27</v>
      </c>
      <c r="C1011" s="60"/>
      <c r="D1011" s="31">
        <v>0.98</v>
      </c>
      <c r="E1011" s="31">
        <v>1</v>
      </c>
      <c r="F1011" s="31">
        <v>1</v>
      </c>
      <c r="G1011" s="31">
        <v>0.99</v>
      </c>
      <c r="H1011" s="31">
        <v>1</v>
      </c>
      <c r="I1011" s="31">
        <v>1</v>
      </c>
      <c r="J1011" s="31">
        <v>1</v>
      </c>
      <c r="K1011" s="31">
        <v>0.83</v>
      </c>
      <c r="L1011" s="31">
        <v>0.17</v>
      </c>
      <c r="M1011" s="31">
        <v>0</v>
      </c>
      <c r="N1011" s="31">
        <v>0.97</v>
      </c>
      <c r="O1011" s="31">
        <v>0</v>
      </c>
      <c r="P1011" s="31">
        <v>0.97</v>
      </c>
      <c r="Q1011" s="54"/>
      <c r="R1011" s="52"/>
      <c r="S1011" s="1"/>
      <c r="T1011" s="1"/>
      <c r="U1011" s="1"/>
    </row>
    <row r="1012" spans="1:2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52"/>
      <c r="R1012" s="52"/>
      <c r="S1012" s="1"/>
      <c r="T1012" s="1"/>
      <c r="U1012" s="1"/>
    </row>
    <row r="1013" spans="1:2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52"/>
      <c r="R1013" s="52"/>
      <c r="S1013" s="1"/>
      <c r="T1013" s="1"/>
      <c r="U1013" s="1"/>
    </row>
    <row r="1014" spans="1:21" ht="15.6" x14ac:dyDescent="0.3">
      <c r="A1014" s="1"/>
      <c r="B1014" s="3"/>
      <c r="C1014" s="4" t="s">
        <v>505</v>
      </c>
      <c r="D1014" s="3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5" t="s">
        <v>2</v>
      </c>
      <c r="Q1014" s="54"/>
      <c r="R1014" s="52"/>
      <c r="S1014" s="1"/>
      <c r="T1014" s="1"/>
      <c r="U1014" s="1"/>
    </row>
    <row r="1015" spans="1:21" ht="15.6" x14ac:dyDescent="0.3">
      <c r="A1015" s="1"/>
      <c r="B1015" s="3"/>
      <c r="C1015" s="6">
        <v>46174</v>
      </c>
      <c r="D1015" s="3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48" t="e">
        <v>#VALUE!</v>
      </c>
      <c r="Q1015" s="54"/>
      <c r="R1015" s="52"/>
      <c r="S1015" s="1"/>
      <c r="T1015" s="1"/>
      <c r="U1015" s="1"/>
    </row>
    <row r="1016" spans="1:21" ht="42" x14ac:dyDescent="0.3">
      <c r="A1016" s="1"/>
      <c r="B1016" s="55" t="s">
        <v>3</v>
      </c>
      <c r="C1016" s="55" t="s">
        <v>4</v>
      </c>
      <c r="D1016" s="8" t="s">
        <v>5</v>
      </c>
      <c r="E1016" s="8" t="s">
        <v>6</v>
      </c>
      <c r="F1016" s="9" t="s">
        <v>7</v>
      </c>
      <c r="G1016" s="9" t="s">
        <v>8</v>
      </c>
      <c r="H1016" s="9" t="s">
        <v>9</v>
      </c>
      <c r="I1016" s="10" t="s">
        <v>10</v>
      </c>
      <c r="J1016" s="10" t="s">
        <v>11</v>
      </c>
      <c r="K1016" s="11" t="s">
        <v>12</v>
      </c>
      <c r="L1016" s="10" t="s">
        <v>13</v>
      </c>
      <c r="M1016" s="11" t="s">
        <v>14</v>
      </c>
      <c r="N1016" s="12" t="s">
        <v>15</v>
      </c>
      <c r="O1016" s="57" t="s">
        <v>16</v>
      </c>
      <c r="P1016" s="57" t="s">
        <v>17</v>
      </c>
      <c r="Q1016" s="54"/>
      <c r="R1016" s="52"/>
      <c r="S1016" s="1"/>
      <c r="T1016" s="1"/>
      <c r="U1016" s="1"/>
    </row>
    <row r="1017" spans="1:21" x14ac:dyDescent="0.3">
      <c r="A1017" s="1"/>
      <c r="B1017" s="56"/>
      <c r="C1017" s="56"/>
      <c r="D1017" s="13" t="s">
        <v>18</v>
      </c>
      <c r="E1017" s="13" t="s">
        <v>18</v>
      </c>
      <c r="F1017" s="13" t="s">
        <v>18</v>
      </c>
      <c r="G1017" s="13" t="s">
        <v>18</v>
      </c>
      <c r="H1017" s="13" t="s">
        <v>18</v>
      </c>
      <c r="I1017" s="13" t="s">
        <v>18</v>
      </c>
      <c r="J1017" s="13" t="s">
        <v>18</v>
      </c>
      <c r="K1017" s="13" t="s">
        <v>18</v>
      </c>
      <c r="L1017" s="13" t="s">
        <v>18</v>
      </c>
      <c r="M1017" s="13" t="s">
        <v>18</v>
      </c>
      <c r="N1017" s="14" t="s">
        <v>29</v>
      </c>
      <c r="O1017" s="58"/>
      <c r="P1017" s="58"/>
      <c r="Q1017" s="54"/>
      <c r="R1017" s="52"/>
      <c r="S1017" s="1"/>
      <c r="T1017" s="1"/>
      <c r="U1017" s="1"/>
    </row>
    <row r="1018" spans="1:21" x14ac:dyDescent="0.3">
      <c r="A1018" s="1"/>
      <c r="B1018" s="59" t="s">
        <v>20</v>
      </c>
      <c r="C1018" s="60"/>
      <c r="D1018" s="16">
        <v>0.1</v>
      </c>
      <c r="E1018" s="16">
        <v>0.05</v>
      </c>
      <c r="F1018" s="16">
        <v>0.1</v>
      </c>
      <c r="G1018" s="16">
        <v>0.1</v>
      </c>
      <c r="H1018" s="16">
        <v>0.05</v>
      </c>
      <c r="I1018" s="17">
        <v>0.1</v>
      </c>
      <c r="J1018" s="17">
        <v>0.35</v>
      </c>
      <c r="K1018" s="17">
        <v>0.08</v>
      </c>
      <c r="L1018" s="17">
        <v>0.02</v>
      </c>
      <c r="M1018" s="17">
        <v>0.05</v>
      </c>
      <c r="N1018" s="19">
        <v>1</v>
      </c>
      <c r="O1018" s="20"/>
      <c r="P1018" s="22"/>
      <c r="Q1018" s="54"/>
      <c r="R1018" s="52"/>
      <c r="S1018" s="1"/>
      <c r="T1018" s="1"/>
      <c r="U1018" s="1"/>
    </row>
    <row r="1019" spans="1:21" x14ac:dyDescent="0.3">
      <c r="A1019" s="1"/>
      <c r="B1019" s="23">
        <v>1</v>
      </c>
      <c r="C1019" s="49" t="s">
        <v>506</v>
      </c>
      <c r="D1019" s="25">
        <v>1</v>
      </c>
      <c r="E1019" s="25">
        <v>1</v>
      </c>
      <c r="F1019" s="25">
        <v>1</v>
      </c>
      <c r="G1019" s="25">
        <v>0.84519999999999995</v>
      </c>
      <c r="H1019" s="25">
        <v>0</v>
      </c>
      <c r="I1019" s="25">
        <v>1</v>
      </c>
      <c r="J1019" s="25">
        <v>1</v>
      </c>
      <c r="K1019" s="25">
        <v>0</v>
      </c>
      <c r="L1019" s="26">
        <v>0</v>
      </c>
      <c r="M1019" s="26">
        <v>0.5</v>
      </c>
      <c r="N1019" s="27">
        <v>0.8095</v>
      </c>
      <c r="O1019" s="28">
        <v>0</v>
      </c>
      <c r="P1019" s="27">
        <v>0.8095</v>
      </c>
      <c r="Q1019" s="54"/>
      <c r="R1019" s="52"/>
      <c r="S1019" s="1"/>
      <c r="T1019" s="1"/>
      <c r="U1019" s="1"/>
    </row>
    <row r="1020" spans="1:21" x14ac:dyDescent="0.3">
      <c r="A1020" s="1"/>
      <c r="B1020" s="23">
        <v>2</v>
      </c>
      <c r="C1020" s="49" t="s">
        <v>507</v>
      </c>
      <c r="D1020" s="25">
        <v>1</v>
      </c>
      <c r="E1020" s="25">
        <v>1</v>
      </c>
      <c r="F1020" s="25">
        <v>1</v>
      </c>
      <c r="G1020" s="25">
        <v>0.43149999999999999</v>
      </c>
      <c r="H1020" s="25">
        <v>0</v>
      </c>
      <c r="I1020" s="25">
        <v>1</v>
      </c>
      <c r="J1020" s="25">
        <v>1</v>
      </c>
      <c r="K1020" s="25">
        <v>0</v>
      </c>
      <c r="L1020" s="26">
        <v>0</v>
      </c>
      <c r="M1020" s="26">
        <v>0.5</v>
      </c>
      <c r="N1020" s="27">
        <v>0.7681</v>
      </c>
      <c r="O1020" s="28">
        <v>0</v>
      </c>
      <c r="P1020" s="27">
        <v>0.7681</v>
      </c>
      <c r="Q1020" s="54"/>
      <c r="R1020" s="52"/>
      <c r="S1020" s="1"/>
      <c r="T1020" s="1"/>
      <c r="U1020" s="1"/>
    </row>
    <row r="1021" spans="1:21" x14ac:dyDescent="0.3">
      <c r="A1021" s="1"/>
      <c r="B1021" s="23">
        <v>3</v>
      </c>
      <c r="C1021" s="50" t="s">
        <v>508</v>
      </c>
      <c r="D1021" s="25">
        <v>1</v>
      </c>
      <c r="E1021" s="25">
        <v>1</v>
      </c>
      <c r="F1021" s="25">
        <v>1</v>
      </c>
      <c r="G1021" s="25">
        <v>1</v>
      </c>
      <c r="H1021" s="25">
        <v>1</v>
      </c>
      <c r="I1021" s="25">
        <v>0.95399999999999996</v>
      </c>
      <c r="J1021" s="25">
        <v>0.8</v>
      </c>
      <c r="K1021" s="25">
        <v>0.5</v>
      </c>
      <c r="L1021" s="26">
        <v>0</v>
      </c>
      <c r="M1021" s="26">
        <v>0.5</v>
      </c>
      <c r="N1021" s="27">
        <v>0.84040000000000004</v>
      </c>
      <c r="O1021" s="28">
        <v>0</v>
      </c>
      <c r="P1021" s="27">
        <v>0.84040000000000004</v>
      </c>
      <c r="Q1021" s="54"/>
      <c r="R1021" s="52"/>
      <c r="S1021" s="1"/>
      <c r="T1021" s="1"/>
      <c r="U1021" s="1"/>
    </row>
    <row r="1022" spans="1:21" x14ac:dyDescent="0.3">
      <c r="A1022" s="1"/>
      <c r="B1022" s="23">
        <v>4</v>
      </c>
      <c r="C1022" s="49" t="s">
        <v>509</v>
      </c>
      <c r="D1022" s="25">
        <v>1</v>
      </c>
      <c r="E1022" s="25">
        <v>0.98</v>
      </c>
      <c r="F1022" s="25">
        <v>1</v>
      </c>
      <c r="G1022" s="25">
        <v>0.75600000000000001</v>
      </c>
      <c r="H1022" s="25">
        <v>0</v>
      </c>
      <c r="I1022" s="25">
        <v>1</v>
      </c>
      <c r="J1022" s="25">
        <v>0.8</v>
      </c>
      <c r="K1022" s="25">
        <v>0.5</v>
      </c>
      <c r="L1022" s="26">
        <v>0</v>
      </c>
      <c r="M1022" s="26">
        <v>0.5</v>
      </c>
      <c r="N1022" s="27">
        <v>0.76959999999999995</v>
      </c>
      <c r="O1022" s="28">
        <v>0</v>
      </c>
      <c r="P1022" s="27">
        <v>0.76959999999999995</v>
      </c>
      <c r="Q1022" s="54"/>
      <c r="R1022" s="52"/>
      <c r="S1022" s="1"/>
      <c r="T1022" s="1"/>
      <c r="U1022" s="1"/>
    </row>
    <row r="1023" spans="1:21" x14ac:dyDescent="0.3">
      <c r="A1023" s="1"/>
      <c r="B1023" s="59" t="s">
        <v>27</v>
      </c>
      <c r="C1023" s="60"/>
      <c r="D1023" s="43" t="e">
        <v>#VALUE!</v>
      </c>
      <c r="E1023" s="43" t="e">
        <v>#VALUE!</v>
      </c>
      <c r="F1023" s="43" t="e">
        <v>#VALUE!</v>
      </c>
      <c r="G1023" s="43" t="e">
        <v>#VALUE!</v>
      </c>
      <c r="H1023" s="43" t="e">
        <v>#VALUE!</v>
      </c>
      <c r="I1023" s="43" t="e">
        <v>#VALUE!</v>
      </c>
      <c r="J1023" s="43" t="e">
        <v>#VALUE!</v>
      </c>
      <c r="K1023" s="43" t="e">
        <v>#VALUE!</v>
      </c>
      <c r="L1023" s="43" t="e">
        <v>#VALUE!</v>
      </c>
      <c r="M1023" s="43" t="e">
        <v>#VALUE!</v>
      </c>
      <c r="N1023" s="43" t="e">
        <v>#VALUE!</v>
      </c>
      <c r="O1023" s="43" t="e">
        <v>#VALUE!</v>
      </c>
      <c r="P1023" s="43" t="e">
        <v>#VALUE!</v>
      </c>
      <c r="Q1023" s="54"/>
      <c r="R1023" s="52"/>
      <c r="S1023" s="1"/>
      <c r="T1023" s="1"/>
      <c r="U1023" s="1"/>
    </row>
    <row r="1024" spans="1:21" x14ac:dyDescent="0.3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52"/>
      <c r="R1024" s="52"/>
      <c r="S1024" s="1"/>
      <c r="T1024" s="1"/>
      <c r="U1024" s="1"/>
    </row>
    <row r="1025" spans="1:21" x14ac:dyDescent="0.3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52"/>
      <c r="R1025" s="52"/>
      <c r="S1025" s="1"/>
      <c r="T1025" s="1"/>
      <c r="U1025" s="1"/>
    </row>
    <row r="1026" spans="1:21" ht="15.6" x14ac:dyDescent="0.3">
      <c r="A1026" s="1"/>
      <c r="B1026" s="3"/>
      <c r="C1026" s="4" t="s">
        <v>510</v>
      </c>
      <c r="D1026" s="3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5" t="s">
        <v>2</v>
      </c>
      <c r="Q1026" s="54"/>
      <c r="R1026" s="52"/>
      <c r="S1026" s="1"/>
      <c r="T1026" s="1"/>
      <c r="U1026" s="1"/>
    </row>
    <row r="1027" spans="1:21" ht="15.6" x14ac:dyDescent="0.3">
      <c r="A1027" s="1"/>
      <c r="B1027" s="3"/>
      <c r="C1027" s="6">
        <v>46174</v>
      </c>
      <c r="D1027" s="3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7">
        <v>0.92</v>
      </c>
      <c r="Q1027" s="54"/>
      <c r="R1027" s="52"/>
      <c r="S1027" s="1"/>
      <c r="T1027" s="1"/>
      <c r="U1027" s="1"/>
    </row>
    <row r="1028" spans="1:21" ht="42" x14ac:dyDescent="0.3">
      <c r="A1028" s="1"/>
      <c r="B1028" s="55" t="s">
        <v>3</v>
      </c>
      <c r="C1028" s="55" t="s">
        <v>4</v>
      </c>
      <c r="D1028" s="8" t="s">
        <v>5</v>
      </c>
      <c r="E1028" s="8" t="s">
        <v>6</v>
      </c>
      <c r="F1028" s="9" t="s">
        <v>7</v>
      </c>
      <c r="G1028" s="9" t="s">
        <v>8</v>
      </c>
      <c r="H1028" s="9" t="s">
        <v>9</v>
      </c>
      <c r="I1028" s="10" t="s">
        <v>10</v>
      </c>
      <c r="J1028" s="10" t="s">
        <v>11</v>
      </c>
      <c r="K1028" s="11" t="s">
        <v>12</v>
      </c>
      <c r="L1028" s="10" t="s">
        <v>13</v>
      </c>
      <c r="M1028" s="11" t="s">
        <v>14</v>
      </c>
      <c r="N1028" s="12" t="s">
        <v>15</v>
      </c>
      <c r="O1028" s="57" t="s">
        <v>16</v>
      </c>
      <c r="P1028" s="57" t="s">
        <v>17</v>
      </c>
      <c r="Q1028" s="54"/>
      <c r="R1028" s="52"/>
      <c r="S1028" s="1"/>
      <c r="T1028" s="1"/>
      <c r="U1028" s="1"/>
    </row>
    <row r="1029" spans="1:21" x14ac:dyDescent="0.3">
      <c r="A1029" s="1"/>
      <c r="B1029" s="56"/>
      <c r="C1029" s="56"/>
      <c r="D1029" s="13" t="s">
        <v>18</v>
      </c>
      <c r="E1029" s="13" t="s">
        <v>18</v>
      </c>
      <c r="F1029" s="13" t="s">
        <v>18</v>
      </c>
      <c r="G1029" s="13" t="s">
        <v>18</v>
      </c>
      <c r="H1029" s="13" t="s">
        <v>18</v>
      </c>
      <c r="I1029" s="13" t="s">
        <v>18</v>
      </c>
      <c r="J1029" s="13" t="s">
        <v>18</v>
      </c>
      <c r="K1029" s="13" t="s">
        <v>18</v>
      </c>
      <c r="L1029" s="13" t="s">
        <v>18</v>
      </c>
      <c r="M1029" s="13" t="s">
        <v>18</v>
      </c>
      <c r="N1029" s="14" t="s">
        <v>29</v>
      </c>
      <c r="O1029" s="58"/>
      <c r="P1029" s="58"/>
      <c r="Q1029" s="54"/>
      <c r="R1029" s="52"/>
      <c r="S1029" s="1"/>
      <c r="T1029" s="1"/>
      <c r="U1029" s="1"/>
    </row>
    <row r="1030" spans="1:21" x14ac:dyDescent="0.3">
      <c r="A1030" s="1"/>
      <c r="B1030" s="59" t="s">
        <v>20</v>
      </c>
      <c r="C1030" s="60"/>
      <c r="D1030" s="16">
        <v>0.1</v>
      </c>
      <c r="E1030" s="16">
        <v>0.05</v>
      </c>
      <c r="F1030" s="16">
        <v>0.1</v>
      </c>
      <c r="G1030" s="16">
        <v>0.1</v>
      </c>
      <c r="H1030" s="16">
        <v>0.05</v>
      </c>
      <c r="I1030" s="17">
        <v>0.1</v>
      </c>
      <c r="J1030" s="17">
        <v>0.35</v>
      </c>
      <c r="K1030" s="17">
        <v>0.08</v>
      </c>
      <c r="L1030" s="17">
        <v>0.02</v>
      </c>
      <c r="M1030" s="17">
        <v>0.05</v>
      </c>
      <c r="N1030" s="19">
        <v>1</v>
      </c>
      <c r="O1030" s="20"/>
      <c r="P1030" s="22"/>
      <c r="Q1030" s="54"/>
      <c r="R1030" s="52"/>
      <c r="S1030" s="1"/>
      <c r="T1030" s="1"/>
      <c r="U1030" s="1"/>
    </row>
    <row r="1031" spans="1:21" x14ac:dyDescent="0.3">
      <c r="A1031" s="1"/>
      <c r="B1031" s="23">
        <v>1</v>
      </c>
      <c r="C1031" s="37" t="s">
        <v>511</v>
      </c>
      <c r="D1031" s="25">
        <v>1</v>
      </c>
      <c r="E1031" s="25">
        <v>1</v>
      </c>
      <c r="F1031" s="25">
        <v>1</v>
      </c>
      <c r="G1031" s="25">
        <v>0.9839</v>
      </c>
      <c r="H1031" s="25">
        <v>0</v>
      </c>
      <c r="I1031" s="25">
        <v>1</v>
      </c>
      <c r="J1031" s="25">
        <v>1</v>
      </c>
      <c r="K1031" s="25">
        <v>0.5</v>
      </c>
      <c r="L1031" s="26">
        <v>1</v>
      </c>
      <c r="M1031" s="26">
        <v>0.5</v>
      </c>
      <c r="N1031" s="27">
        <v>0.88339999999999996</v>
      </c>
      <c r="O1031" s="28">
        <v>0</v>
      </c>
      <c r="P1031" s="27">
        <v>0.88339999999999996</v>
      </c>
      <c r="Q1031" s="54"/>
      <c r="R1031" s="52"/>
      <c r="S1031" s="1"/>
      <c r="T1031" s="1"/>
      <c r="U1031" s="1"/>
    </row>
    <row r="1032" spans="1:21" x14ac:dyDescent="0.3">
      <c r="A1032" s="1"/>
      <c r="B1032" s="23">
        <v>2</v>
      </c>
      <c r="C1032" s="37" t="s">
        <v>512</v>
      </c>
      <c r="D1032" s="25">
        <v>1</v>
      </c>
      <c r="E1032" s="25">
        <v>1</v>
      </c>
      <c r="F1032" s="25">
        <v>1</v>
      </c>
      <c r="G1032" s="25">
        <v>1</v>
      </c>
      <c r="H1032" s="25">
        <v>1</v>
      </c>
      <c r="I1032" s="25">
        <v>0.99790000000000001</v>
      </c>
      <c r="J1032" s="25">
        <v>1</v>
      </c>
      <c r="K1032" s="25">
        <v>1</v>
      </c>
      <c r="L1032" s="26">
        <v>0</v>
      </c>
      <c r="M1032" s="26">
        <v>0.5</v>
      </c>
      <c r="N1032" s="27">
        <v>0.95479999999999998</v>
      </c>
      <c r="O1032" s="28">
        <v>0</v>
      </c>
      <c r="P1032" s="27">
        <v>0.95479999999999998</v>
      </c>
      <c r="Q1032" s="54"/>
      <c r="R1032" s="52"/>
      <c r="S1032" s="1"/>
      <c r="T1032" s="1"/>
      <c r="U1032" s="1"/>
    </row>
    <row r="1033" spans="1:21" x14ac:dyDescent="0.3">
      <c r="A1033" s="1"/>
      <c r="B1033" s="23">
        <v>3</v>
      </c>
      <c r="C1033" s="37" t="s">
        <v>513</v>
      </c>
      <c r="D1033" s="25">
        <v>0.98</v>
      </c>
      <c r="E1033" s="25">
        <v>1</v>
      </c>
      <c r="F1033" s="25">
        <v>1</v>
      </c>
      <c r="G1033" s="25">
        <v>1</v>
      </c>
      <c r="H1033" s="25">
        <v>1</v>
      </c>
      <c r="I1033" s="25">
        <v>0.9929</v>
      </c>
      <c r="J1033" s="25">
        <v>0.8</v>
      </c>
      <c r="K1033" s="25">
        <v>0.5</v>
      </c>
      <c r="L1033" s="26">
        <v>1</v>
      </c>
      <c r="M1033" s="26">
        <v>1</v>
      </c>
      <c r="N1033" s="27">
        <v>0.88729999999999998</v>
      </c>
      <c r="O1033" s="28">
        <v>0</v>
      </c>
      <c r="P1033" s="27">
        <v>0.88729999999999998</v>
      </c>
      <c r="Q1033" s="54"/>
      <c r="R1033" s="52"/>
      <c r="S1033" s="1"/>
      <c r="T1033" s="1"/>
      <c r="U1033" s="1"/>
    </row>
    <row r="1034" spans="1:21" x14ac:dyDescent="0.3">
      <c r="A1034" s="1"/>
      <c r="B1034" s="23">
        <v>4</v>
      </c>
      <c r="C1034" s="37" t="s">
        <v>514</v>
      </c>
      <c r="D1034" s="25">
        <v>0.96</v>
      </c>
      <c r="E1034" s="25">
        <v>0.98</v>
      </c>
      <c r="F1034" s="25">
        <v>1</v>
      </c>
      <c r="G1034" s="25">
        <v>0.97060000000000002</v>
      </c>
      <c r="H1034" s="25">
        <v>1</v>
      </c>
      <c r="I1034" s="25">
        <v>1</v>
      </c>
      <c r="J1034" s="25">
        <v>0.8</v>
      </c>
      <c r="K1034" s="25">
        <v>0.5</v>
      </c>
      <c r="L1034" s="26">
        <v>1</v>
      </c>
      <c r="M1034" s="26">
        <v>1</v>
      </c>
      <c r="N1034" s="27">
        <v>0.8821</v>
      </c>
      <c r="O1034" s="28">
        <v>0</v>
      </c>
      <c r="P1034" s="27">
        <v>0.8821</v>
      </c>
      <c r="Q1034" s="54"/>
      <c r="R1034" s="52"/>
      <c r="S1034" s="1"/>
      <c r="T1034" s="1"/>
      <c r="U1034" s="1"/>
    </row>
    <row r="1035" spans="1:21" x14ac:dyDescent="0.3">
      <c r="A1035" s="1"/>
      <c r="B1035" s="23">
        <v>5</v>
      </c>
      <c r="C1035" s="37" t="s">
        <v>515</v>
      </c>
      <c r="D1035" s="25">
        <v>1</v>
      </c>
      <c r="E1035" s="25">
        <v>1</v>
      </c>
      <c r="F1035" s="25">
        <v>1</v>
      </c>
      <c r="G1035" s="25">
        <v>0.90880000000000005</v>
      </c>
      <c r="H1035" s="25">
        <v>1</v>
      </c>
      <c r="I1035" s="25">
        <v>0.99050000000000005</v>
      </c>
      <c r="J1035" s="25">
        <v>1</v>
      </c>
      <c r="K1035" s="25">
        <v>0.5</v>
      </c>
      <c r="L1035" s="26">
        <v>0</v>
      </c>
      <c r="M1035" s="26">
        <v>1</v>
      </c>
      <c r="N1035" s="27">
        <v>0.92989999999999995</v>
      </c>
      <c r="O1035" s="28">
        <v>0</v>
      </c>
      <c r="P1035" s="27">
        <v>0.92989999999999995</v>
      </c>
      <c r="Q1035" s="54"/>
      <c r="R1035" s="52"/>
      <c r="S1035" s="1"/>
      <c r="T1035" s="1"/>
      <c r="U1035" s="1"/>
    </row>
    <row r="1036" spans="1:21" x14ac:dyDescent="0.3">
      <c r="A1036" s="1"/>
      <c r="B1036" s="23">
        <v>6</v>
      </c>
      <c r="C1036" s="46" t="s">
        <v>516</v>
      </c>
      <c r="D1036" s="25">
        <v>1</v>
      </c>
      <c r="E1036" s="25">
        <v>1</v>
      </c>
      <c r="F1036" s="25">
        <v>1</v>
      </c>
      <c r="G1036" s="25">
        <v>1</v>
      </c>
      <c r="H1036" s="25">
        <v>1</v>
      </c>
      <c r="I1036" s="25">
        <v>0.99809999999999999</v>
      </c>
      <c r="J1036" s="25">
        <v>1</v>
      </c>
      <c r="K1036" s="25">
        <v>1</v>
      </c>
      <c r="L1036" s="26">
        <v>0</v>
      </c>
      <c r="M1036" s="26">
        <v>0</v>
      </c>
      <c r="N1036" s="27">
        <v>0.97870000000000001</v>
      </c>
      <c r="O1036" s="28">
        <v>0</v>
      </c>
      <c r="P1036" s="27">
        <v>0.97870000000000001</v>
      </c>
      <c r="Q1036" s="54"/>
      <c r="R1036" s="52"/>
      <c r="S1036" s="1"/>
      <c r="T1036" s="1"/>
      <c r="U1036" s="1"/>
    </row>
    <row r="1037" spans="1:21" x14ac:dyDescent="0.3">
      <c r="A1037" s="1"/>
      <c r="B1037" s="59" t="s">
        <v>27</v>
      </c>
      <c r="C1037" s="60"/>
      <c r="D1037" s="31">
        <v>0.99</v>
      </c>
      <c r="E1037" s="31">
        <v>1</v>
      </c>
      <c r="F1037" s="31">
        <v>1</v>
      </c>
      <c r="G1037" s="31">
        <v>0.98</v>
      </c>
      <c r="H1037" s="31">
        <v>0.83</v>
      </c>
      <c r="I1037" s="31">
        <v>1</v>
      </c>
      <c r="J1037" s="31">
        <v>0.93</v>
      </c>
      <c r="K1037" s="31">
        <v>0.67</v>
      </c>
      <c r="L1037" s="31">
        <v>0.5</v>
      </c>
      <c r="M1037" s="31">
        <v>0.67</v>
      </c>
      <c r="N1037" s="31">
        <v>0.93</v>
      </c>
      <c r="O1037" s="31">
        <v>0</v>
      </c>
      <c r="P1037" s="31">
        <v>0.92</v>
      </c>
      <c r="Q1037" s="54"/>
      <c r="R1037" s="52"/>
      <c r="S1037" s="1"/>
      <c r="T1037" s="1"/>
      <c r="U1037" s="1"/>
    </row>
    <row r="1038" spans="1:21" x14ac:dyDescent="0.3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52"/>
      <c r="R1038" s="52"/>
      <c r="S1038" s="1"/>
      <c r="T1038" s="1"/>
      <c r="U1038" s="1"/>
    </row>
    <row r="1039" spans="1:21" x14ac:dyDescent="0.3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52"/>
      <c r="R1039" s="52"/>
      <c r="S1039" s="1"/>
      <c r="T1039" s="1"/>
      <c r="U1039" s="1"/>
    </row>
    <row r="1040" spans="1:21" ht="15.6" x14ac:dyDescent="0.3">
      <c r="A1040" s="1"/>
      <c r="B1040" s="3"/>
      <c r="C1040" s="4" t="s">
        <v>517</v>
      </c>
      <c r="D1040" s="3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5" t="s">
        <v>2</v>
      </c>
      <c r="Q1040" s="54"/>
      <c r="R1040" s="52"/>
      <c r="S1040" s="1"/>
      <c r="T1040" s="1"/>
      <c r="U1040" s="1"/>
    </row>
    <row r="1041" spans="1:21" ht="15.6" x14ac:dyDescent="0.3">
      <c r="A1041" s="1"/>
      <c r="B1041" s="3"/>
      <c r="C1041" s="6">
        <v>46174</v>
      </c>
      <c r="D1041" s="3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7">
        <v>0.82</v>
      </c>
      <c r="Q1041" s="54"/>
      <c r="R1041" s="52"/>
      <c r="S1041" s="1"/>
      <c r="T1041" s="1"/>
      <c r="U1041" s="1"/>
    </row>
    <row r="1042" spans="1:21" ht="42" x14ac:dyDescent="0.3">
      <c r="A1042" s="1"/>
      <c r="B1042" s="55" t="s">
        <v>3</v>
      </c>
      <c r="C1042" s="55" t="s">
        <v>4</v>
      </c>
      <c r="D1042" s="8" t="s">
        <v>5</v>
      </c>
      <c r="E1042" s="8" t="s">
        <v>6</v>
      </c>
      <c r="F1042" s="9" t="s">
        <v>7</v>
      </c>
      <c r="G1042" s="9" t="s">
        <v>8</v>
      </c>
      <c r="H1042" s="9" t="s">
        <v>9</v>
      </c>
      <c r="I1042" s="10" t="s">
        <v>10</v>
      </c>
      <c r="J1042" s="10" t="s">
        <v>11</v>
      </c>
      <c r="K1042" s="11" t="s">
        <v>12</v>
      </c>
      <c r="L1042" s="10" t="s">
        <v>13</v>
      </c>
      <c r="M1042" s="11" t="s">
        <v>14</v>
      </c>
      <c r="N1042" s="12" t="s">
        <v>15</v>
      </c>
      <c r="O1042" s="57" t="s">
        <v>16</v>
      </c>
      <c r="P1042" s="57" t="s">
        <v>17</v>
      </c>
      <c r="Q1042" s="54"/>
      <c r="R1042" s="52"/>
      <c r="S1042" s="1"/>
      <c r="T1042" s="1"/>
      <c r="U1042" s="1"/>
    </row>
    <row r="1043" spans="1:21" x14ac:dyDescent="0.3">
      <c r="A1043" s="1"/>
      <c r="B1043" s="56"/>
      <c r="C1043" s="56"/>
      <c r="D1043" s="13" t="s">
        <v>18</v>
      </c>
      <c r="E1043" s="13" t="s">
        <v>18</v>
      </c>
      <c r="F1043" s="13" t="s">
        <v>18</v>
      </c>
      <c r="G1043" s="13" t="s">
        <v>18</v>
      </c>
      <c r="H1043" s="13" t="s">
        <v>18</v>
      </c>
      <c r="I1043" s="13" t="s">
        <v>18</v>
      </c>
      <c r="J1043" s="13" t="s">
        <v>18</v>
      </c>
      <c r="K1043" s="13" t="s">
        <v>18</v>
      </c>
      <c r="L1043" s="13" t="s">
        <v>18</v>
      </c>
      <c r="M1043" s="13" t="s">
        <v>18</v>
      </c>
      <c r="N1043" s="14" t="s">
        <v>29</v>
      </c>
      <c r="O1043" s="58"/>
      <c r="P1043" s="58"/>
      <c r="Q1043" s="54"/>
      <c r="R1043" s="52"/>
      <c r="S1043" s="1"/>
      <c r="T1043" s="1"/>
      <c r="U1043" s="1"/>
    </row>
    <row r="1044" spans="1:21" x14ac:dyDescent="0.3">
      <c r="A1044" s="1"/>
      <c r="B1044" s="59" t="s">
        <v>20</v>
      </c>
      <c r="C1044" s="60"/>
      <c r="D1044" s="16">
        <v>0.1</v>
      </c>
      <c r="E1044" s="16">
        <v>0.05</v>
      </c>
      <c r="F1044" s="16">
        <v>0.1</v>
      </c>
      <c r="G1044" s="16">
        <v>0.1</v>
      </c>
      <c r="H1044" s="16">
        <v>0.05</v>
      </c>
      <c r="I1044" s="17">
        <v>0.1</v>
      </c>
      <c r="J1044" s="17">
        <v>0.35</v>
      </c>
      <c r="K1044" s="17">
        <v>0.08</v>
      </c>
      <c r="L1044" s="17">
        <v>0.02</v>
      </c>
      <c r="M1044" s="17">
        <v>0.05</v>
      </c>
      <c r="N1044" s="19">
        <v>1</v>
      </c>
      <c r="O1044" s="20"/>
      <c r="P1044" s="22"/>
      <c r="Q1044" s="54"/>
      <c r="R1044" s="52"/>
      <c r="S1044" s="1"/>
      <c r="T1044" s="1"/>
      <c r="U1044" s="1"/>
    </row>
    <row r="1045" spans="1:21" x14ac:dyDescent="0.3">
      <c r="A1045" s="1"/>
      <c r="B1045" s="23">
        <v>1</v>
      </c>
      <c r="C1045" s="49" t="s">
        <v>518</v>
      </c>
      <c r="D1045" s="25">
        <v>0.96</v>
      </c>
      <c r="E1045" s="25">
        <v>1</v>
      </c>
      <c r="F1045" s="25">
        <v>1</v>
      </c>
      <c r="G1045" s="25">
        <v>0.46029999999999999</v>
      </c>
      <c r="H1045" s="25">
        <v>0</v>
      </c>
      <c r="I1045" s="25">
        <v>1</v>
      </c>
      <c r="J1045" s="25">
        <v>1</v>
      </c>
      <c r="K1045" s="25">
        <v>0.5</v>
      </c>
      <c r="L1045" s="26">
        <v>0</v>
      </c>
      <c r="M1045" s="26">
        <v>0.5</v>
      </c>
      <c r="N1045" s="27">
        <v>0.80700000000000005</v>
      </c>
      <c r="O1045" s="28">
        <v>0</v>
      </c>
      <c r="P1045" s="27">
        <v>0.80700000000000005</v>
      </c>
      <c r="Q1045" s="54"/>
      <c r="R1045" s="52"/>
      <c r="S1045" s="1"/>
      <c r="T1045" s="1"/>
      <c r="U1045" s="1"/>
    </row>
    <row r="1046" spans="1:21" x14ac:dyDescent="0.3">
      <c r="A1046" s="1"/>
      <c r="B1046" s="23">
        <v>2</v>
      </c>
      <c r="C1046" s="51" t="s">
        <v>519</v>
      </c>
      <c r="D1046" s="25">
        <v>0.98</v>
      </c>
      <c r="E1046" s="25">
        <v>0.98</v>
      </c>
      <c r="F1046" s="25">
        <v>1</v>
      </c>
      <c r="G1046" s="25">
        <v>0.71430000000000005</v>
      </c>
      <c r="H1046" s="25">
        <v>1</v>
      </c>
      <c r="I1046" s="25">
        <v>1</v>
      </c>
      <c r="J1046" s="25">
        <v>1</v>
      </c>
      <c r="K1046" s="25">
        <v>0</v>
      </c>
      <c r="L1046" s="26">
        <v>0</v>
      </c>
      <c r="M1046" s="26">
        <v>0.5</v>
      </c>
      <c r="N1046" s="27">
        <v>0.84340000000000004</v>
      </c>
      <c r="O1046" s="28">
        <v>0</v>
      </c>
      <c r="P1046" s="27">
        <v>0.84340000000000004</v>
      </c>
      <c r="Q1046" s="54"/>
      <c r="R1046" s="52"/>
      <c r="S1046" s="1"/>
      <c r="T1046" s="1"/>
      <c r="U1046" s="1"/>
    </row>
    <row r="1047" spans="1:21" x14ac:dyDescent="0.3">
      <c r="A1047" s="1"/>
      <c r="B1047" s="23">
        <v>3</v>
      </c>
      <c r="C1047" s="49" t="s">
        <v>520</v>
      </c>
      <c r="D1047" s="25">
        <v>1</v>
      </c>
      <c r="E1047" s="25">
        <v>1</v>
      </c>
      <c r="F1047" s="25">
        <v>1</v>
      </c>
      <c r="G1047" s="25">
        <v>0.94320000000000004</v>
      </c>
      <c r="H1047" s="25">
        <v>1</v>
      </c>
      <c r="I1047" s="25">
        <v>1</v>
      </c>
      <c r="J1047" s="25">
        <v>1</v>
      </c>
      <c r="K1047" s="25">
        <v>0</v>
      </c>
      <c r="L1047" s="26">
        <v>0</v>
      </c>
      <c r="M1047" s="26">
        <v>0.5</v>
      </c>
      <c r="N1047" s="27">
        <v>0.86929999999999996</v>
      </c>
      <c r="O1047" s="28">
        <v>0</v>
      </c>
      <c r="P1047" s="27">
        <v>0.86929999999999996</v>
      </c>
      <c r="Q1047" s="54"/>
      <c r="R1047" s="52"/>
      <c r="S1047" s="1"/>
      <c r="T1047" s="1"/>
      <c r="U1047" s="1"/>
    </row>
    <row r="1048" spans="1:21" x14ac:dyDescent="0.3">
      <c r="A1048" s="1"/>
      <c r="B1048" s="23">
        <v>4</v>
      </c>
      <c r="C1048" s="49" t="s">
        <v>521</v>
      </c>
      <c r="D1048" s="25">
        <v>0.96</v>
      </c>
      <c r="E1048" s="25">
        <v>0.93</v>
      </c>
      <c r="F1048" s="25">
        <v>0.99660000000000004</v>
      </c>
      <c r="G1048" s="25">
        <v>1</v>
      </c>
      <c r="H1048" s="25">
        <v>1</v>
      </c>
      <c r="I1048" s="25">
        <v>0.995</v>
      </c>
      <c r="J1048" s="25">
        <v>0.8</v>
      </c>
      <c r="K1048" s="25">
        <v>0.5</v>
      </c>
      <c r="L1048" s="26">
        <v>0</v>
      </c>
      <c r="M1048" s="26">
        <v>0.5</v>
      </c>
      <c r="N1048" s="27">
        <v>0.8367</v>
      </c>
      <c r="O1048" s="28">
        <v>0</v>
      </c>
      <c r="P1048" s="27">
        <v>0.8367</v>
      </c>
      <c r="Q1048" s="54"/>
      <c r="R1048" s="52"/>
      <c r="S1048" s="1"/>
      <c r="T1048" s="1"/>
      <c r="U1048" s="1"/>
    </row>
    <row r="1049" spans="1:21" x14ac:dyDescent="0.3">
      <c r="A1049" s="1"/>
      <c r="B1049" s="23">
        <v>5</v>
      </c>
      <c r="C1049" s="49" t="s">
        <v>522</v>
      </c>
      <c r="D1049" s="25">
        <v>0.98</v>
      </c>
      <c r="E1049" s="25">
        <v>1</v>
      </c>
      <c r="F1049" s="25">
        <v>1</v>
      </c>
      <c r="G1049" s="25">
        <v>0.69899999999999995</v>
      </c>
      <c r="H1049" s="25">
        <v>1</v>
      </c>
      <c r="I1049" s="25">
        <v>0.97319999999999995</v>
      </c>
      <c r="J1049" s="25">
        <v>0.5</v>
      </c>
      <c r="K1049" s="25">
        <v>1</v>
      </c>
      <c r="L1049" s="26">
        <v>0</v>
      </c>
      <c r="M1049" s="26">
        <v>0.5</v>
      </c>
      <c r="N1049" s="27">
        <v>0.74519999999999997</v>
      </c>
      <c r="O1049" s="28">
        <v>0</v>
      </c>
      <c r="P1049" s="27">
        <v>0.74519999999999997</v>
      </c>
      <c r="Q1049" s="54"/>
      <c r="R1049" s="52"/>
      <c r="S1049" s="1"/>
      <c r="T1049" s="1"/>
      <c r="U1049" s="1"/>
    </row>
    <row r="1050" spans="1:21" x14ac:dyDescent="0.3">
      <c r="A1050" s="1"/>
      <c r="B1050" s="59" t="s">
        <v>27</v>
      </c>
      <c r="C1050" s="60"/>
      <c r="D1050" s="31">
        <v>0.98</v>
      </c>
      <c r="E1050" s="31">
        <v>0.98</v>
      </c>
      <c r="F1050" s="31">
        <v>1</v>
      </c>
      <c r="G1050" s="31">
        <v>0.76</v>
      </c>
      <c r="H1050" s="31">
        <v>0.8</v>
      </c>
      <c r="I1050" s="31">
        <v>0.99</v>
      </c>
      <c r="J1050" s="31">
        <v>0.86</v>
      </c>
      <c r="K1050" s="31">
        <v>0.4</v>
      </c>
      <c r="L1050" s="31">
        <v>0</v>
      </c>
      <c r="M1050" s="31">
        <v>0.5</v>
      </c>
      <c r="N1050" s="31">
        <v>0.82</v>
      </c>
      <c r="O1050" s="31">
        <v>0</v>
      </c>
      <c r="P1050" s="31">
        <v>0.82</v>
      </c>
      <c r="Q1050" s="54"/>
      <c r="R1050" s="52"/>
      <c r="S1050" s="1"/>
      <c r="T1050" s="1"/>
      <c r="U1050" s="1"/>
    </row>
    <row r="1051" spans="1:21" x14ac:dyDescent="0.3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52"/>
      <c r="R1051" s="52"/>
      <c r="S1051" s="1"/>
      <c r="T1051" s="1"/>
      <c r="U1051" s="1"/>
    </row>
    <row r="1052" spans="1:21" x14ac:dyDescent="0.3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52"/>
      <c r="R1052" s="52"/>
      <c r="S1052" s="1"/>
      <c r="T1052" s="1"/>
      <c r="U1052" s="1"/>
    </row>
    <row r="1053" spans="1:21" ht="15.6" x14ac:dyDescent="0.3">
      <c r="A1053" s="1"/>
      <c r="B1053" s="3"/>
      <c r="C1053" s="4" t="s">
        <v>523</v>
      </c>
      <c r="D1053" s="3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5" t="s">
        <v>2</v>
      </c>
      <c r="Q1053" s="54"/>
      <c r="R1053" s="52"/>
      <c r="S1053" s="1"/>
      <c r="T1053" s="1"/>
      <c r="U1053" s="1"/>
    </row>
    <row r="1054" spans="1:21" ht="15.6" x14ac:dyDescent="0.3">
      <c r="A1054" s="1"/>
      <c r="B1054" s="3"/>
      <c r="C1054" s="6">
        <v>46174</v>
      </c>
      <c r="D1054" s="3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7">
        <v>0.83</v>
      </c>
      <c r="Q1054" s="54"/>
      <c r="R1054" s="52"/>
      <c r="S1054" s="1"/>
      <c r="T1054" s="1"/>
      <c r="U1054" s="1"/>
    </row>
    <row r="1055" spans="1:21" ht="42" x14ac:dyDescent="0.3">
      <c r="A1055" s="1"/>
      <c r="B1055" s="55" t="s">
        <v>3</v>
      </c>
      <c r="C1055" s="55" t="s">
        <v>4</v>
      </c>
      <c r="D1055" s="8" t="s">
        <v>5</v>
      </c>
      <c r="E1055" s="8" t="s">
        <v>6</v>
      </c>
      <c r="F1055" s="9" t="s">
        <v>7</v>
      </c>
      <c r="G1055" s="9" t="s">
        <v>8</v>
      </c>
      <c r="H1055" s="9" t="s">
        <v>9</v>
      </c>
      <c r="I1055" s="10" t="s">
        <v>10</v>
      </c>
      <c r="J1055" s="10" t="s">
        <v>11</v>
      </c>
      <c r="K1055" s="11" t="s">
        <v>12</v>
      </c>
      <c r="L1055" s="10" t="s">
        <v>13</v>
      </c>
      <c r="M1055" s="11" t="s">
        <v>14</v>
      </c>
      <c r="N1055" s="12" t="s">
        <v>15</v>
      </c>
      <c r="O1055" s="57" t="s">
        <v>16</v>
      </c>
      <c r="P1055" s="57" t="s">
        <v>17</v>
      </c>
      <c r="Q1055" s="54"/>
      <c r="R1055" s="52"/>
      <c r="S1055" s="1"/>
      <c r="T1055" s="1"/>
      <c r="U1055" s="1"/>
    </row>
    <row r="1056" spans="1:21" x14ac:dyDescent="0.3">
      <c r="A1056" s="1"/>
      <c r="B1056" s="56"/>
      <c r="C1056" s="56"/>
      <c r="D1056" s="13" t="s">
        <v>18</v>
      </c>
      <c r="E1056" s="13" t="s">
        <v>18</v>
      </c>
      <c r="F1056" s="13" t="s">
        <v>18</v>
      </c>
      <c r="G1056" s="13" t="s">
        <v>18</v>
      </c>
      <c r="H1056" s="13" t="s">
        <v>18</v>
      </c>
      <c r="I1056" s="13" t="s">
        <v>18</v>
      </c>
      <c r="J1056" s="13" t="s">
        <v>18</v>
      </c>
      <c r="K1056" s="13" t="s">
        <v>18</v>
      </c>
      <c r="L1056" s="13" t="s">
        <v>18</v>
      </c>
      <c r="M1056" s="13" t="s">
        <v>18</v>
      </c>
      <c r="N1056" s="14" t="s">
        <v>29</v>
      </c>
      <c r="O1056" s="58"/>
      <c r="P1056" s="58"/>
      <c r="Q1056" s="54"/>
      <c r="R1056" s="52"/>
      <c r="S1056" s="1"/>
      <c r="T1056" s="1"/>
      <c r="U1056" s="1"/>
    </row>
    <row r="1057" spans="1:21" x14ac:dyDescent="0.3">
      <c r="A1057" s="1"/>
      <c r="B1057" s="59" t="s">
        <v>20</v>
      </c>
      <c r="C1057" s="60"/>
      <c r="D1057" s="16">
        <v>0.1</v>
      </c>
      <c r="E1057" s="16">
        <v>0.05</v>
      </c>
      <c r="F1057" s="16">
        <v>0.1</v>
      </c>
      <c r="G1057" s="16">
        <v>0.1</v>
      </c>
      <c r="H1057" s="16">
        <v>0.05</v>
      </c>
      <c r="I1057" s="17">
        <v>0.1</v>
      </c>
      <c r="J1057" s="17">
        <v>0.35</v>
      </c>
      <c r="K1057" s="17">
        <v>0.08</v>
      </c>
      <c r="L1057" s="17">
        <v>0.02</v>
      </c>
      <c r="M1057" s="17">
        <v>0.05</v>
      </c>
      <c r="N1057" s="19">
        <v>1</v>
      </c>
      <c r="O1057" s="20"/>
      <c r="P1057" s="22"/>
      <c r="Q1057" s="54"/>
      <c r="R1057" s="52"/>
      <c r="S1057" s="1"/>
      <c r="T1057" s="1"/>
      <c r="U1057" s="1"/>
    </row>
    <row r="1058" spans="1:21" x14ac:dyDescent="0.3">
      <c r="A1058" s="1"/>
      <c r="B1058" s="23">
        <v>1</v>
      </c>
      <c r="C1058" s="49" t="s">
        <v>524</v>
      </c>
      <c r="D1058" s="25">
        <v>0.98</v>
      </c>
      <c r="E1058" s="25">
        <v>1</v>
      </c>
      <c r="F1058" s="25">
        <v>1</v>
      </c>
      <c r="G1058" s="25">
        <v>0.75380000000000003</v>
      </c>
      <c r="H1058" s="25">
        <v>0</v>
      </c>
      <c r="I1058" s="25">
        <v>0.99329999999999996</v>
      </c>
      <c r="J1058" s="25">
        <v>1</v>
      </c>
      <c r="K1058" s="25">
        <v>0.5</v>
      </c>
      <c r="L1058" s="26">
        <v>0</v>
      </c>
      <c r="M1058" s="26">
        <v>0.5</v>
      </c>
      <c r="N1058" s="27">
        <v>0.8377</v>
      </c>
      <c r="O1058" s="28">
        <v>0</v>
      </c>
      <c r="P1058" s="27">
        <v>0.8377</v>
      </c>
      <c r="Q1058" s="54"/>
      <c r="R1058" s="52"/>
      <c r="S1058" s="1"/>
      <c r="T1058" s="1"/>
      <c r="U1058" s="1"/>
    </row>
    <row r="1059" spans="1:21" x14ac:dyDescent="0.3">
      <c r="A1059" s="1"/>
      <c r="B1059" s="23">
        <v>2</v>
      </c>
      <c r="C1059" s="49" t="s">
        <v>525</v>
      </c>
      <c r="D1059" s="25">
        <v>1</v>
      </c>
      <c r="E1059" s="25">
        <v>1</v>
      </c>
      <c r="F1059" s="25">
        <v>1</v>
      </c>
      <c r="G1059" s="25">
        <v>0.71740000000000004</v>
      </c>
      <c r="H1059" s="25">
        <v>1</v>
      </c>
      <c r="I1059" s="25">
        <v>1</v>
      </c>
      <c r="J1059" s="25">
        <v>1</v>
      </c>
      <c r="K1059" s="25">
        <v>0.5</v>
      </c>
      <c r="L1059" s="26">
        <v>0</v>
      </c>
      <c r="M1059" s="26">
        <v>0.5</v>
      </c>
      <c r="N1059" s="27">
        <v>0.88670000000000004</v>
      </c>
      <c r="O1059" s="28">
        <v>0</v>
      </c>
      <c r="P1059" s="27">
        <v>0.88670000000000004</v>
      </c>
      <c r="Q1059" s="54"/>
      <c r="R1059" s="52"/>
      <c r="S1059" s="1"/>
      <c r="T1059" s="1"/>
      <c r="U1059" s="1"/>
    </row>
    <row r="1060" spans="1:21" x14ac:dyDescent="0.3">
      <c r="A1060" s="1"/>
      <c r="B1060" s="23">
        <v>3</v>
      </c>
      <c r="C1060" s="49" t="s">
        <v>526</v>
      </c>
      <c r="D1060" s="25">
        <v>1</v>
      </c>
      <c r="E1060" s="25">
        <v>0.99</v>
      </c>
      <c r="F1060" s="25">
        <v>1</v>
      </c>
      <c r="G1060" s="25">
        <v>0.49399999999999999</v>
      </c>
      <c r="H1060" s="25">
        <v>0</v>
      </c>
      <c r="I1060" s="25">
        <v>1</v>
      </c>
      <c r="J1060" s="25">
        <v>1</v>
      </c>
      <c r="K1060" s="25">
        <v>0</v>
      </c>
      <c r="L1060" s="26">
        <v>0</v>
      </c>
      <c r="M1060" s="26">
        <v>0.5</v>
      </c>
      <c r="N1060" s="27">
        <v>0.77390000000000003</v>
      </c>
      <c r="O1060" s="28">
        <v>0</v>
      </c>
      <c r="P1060" s="27">
        <v>0.77390000000000003</v>
      </c>
      <c r="Q1060" s="54"/>
      <c r="R1060" s="52"/>
      <c r="S1060" s="1"/>
      <c r="T1060" s="1"/>
      <c r="U1060" s="1"/>
    </row>
    <row r="1061" spans="1:21" x14ac:dyDescent="0.3">
      <c r="A1061" s="1"/>
      <c r="B1061" s="59" t="s">
        <v>27</v>
      </c>
      <c r="C1061" s="60"/>
      <c r="D1061" s="31">
        <v>0.99</v>
      </c>
      <c r="E1061" s="31">
        <v>1</v>
      </c>
      <c r="F1061" s="31">
        <v>1</v>
      </c>
      <c r="G1061" s="31">
        <v>0.66</v>
      </c>
      <c r="H1061" s="31">
        <v>0.33</v>
      </c>
      <c r="I1061" s="31">
        <v>1</v>
      </c>
      <c r="J1061" s="31">
        <v>1</v>
      </c>
      <c r="K1061" s="31">
        <v>0.33</v>
      </c>
      <c r="L1061" s="31">
        <v>0</v>
      </c>
      <c r="M1061" s="31">
        <v>0.5</v>
      </c>
      <c r="N1061" s="31">
        <v>0.83</v>
      </c>
      <c r="O1061" s="31">
        <v>0</v>
      </c>
      <c r="P1061" s="31">
        <v>0.83</v>
      </c>
      <c r="Q1061" s="54"/>
      <c r="R1061" s="52"/>
      <c r="S1061" s="1"/>
      <c r="T1061" s="1"/>
      <c r="U1061" s="1"/>
    </row>
    <row r="1062" spans="1:21" x14ac:dyDescent="0.3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52"/>
      <c r="R1062" s="52"/>
      <c r="S1062" s="1"/>
      <c r="T1062" s="1"/>
      <c r="U1062" s="1"/>
    </row>
    <row r="1063" spans="1:21" x14ac:dyDescent="0.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52"/>
      <c r="R1063" s="52"/>
      <c r="S1063" s="1"/>
      <c r="T1063" s="1"/>
      <c r="U1063" s="1"/>
    </row>
    <row r="1064" spans="1:21" ht="15.6" x14ac:dyDescent="0.3">
      <c r="A1064" s="1"/>
      <c r="B1064" s="3"/>
      <c r="C1064" s="4" t="s">
        <v>527</v>
      </c>
      <c r="D1064" s="3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5" t="s">
        <v>2</v>
      </c>
      <c r="Q1064" s="54"/>
      <c r="R1064" s="52"/>
      <c r="S1064" s="1"/>
      <c r="T1064" s="1"/>
      <c r="U1064" s="1"/>
    </row>
    <row r="1065" spans="1:21" ht="15.6" x14ac:dyDescent="0.3">
      <c r="A1065" s="1"/>
      <c r="B1065" s="3"/>
      <c r="C1065" s="6">
        <v>46174</v>
      </c>
      <c r="D1065" s="3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7">
        <v>0.92</v>
      </c>
      <c r="Q1065" s="54"/>
      <c r="R1065" s="52"/>
      <c r="S1065" s="1"/>
      <c r="T1065" s="1"/>
      <c r="U1065" s="1"/>
    </row>
    <row r="1066" spans="1:21" ht="42" x14ac:dyDescent="0.3">
      <c r="A1066" s="1"/>
      <c r="B1066" s="55" t="s">
        <v>3</v>
      </c>
      <c r="C1066" s="55" t="s">
        <v>4</v>
      </c>
      <c r="D1066" s="8" t="s">
        <v>5</v>
      </c>
      <c r="E1066" s="8" t="s">
        <v>6</v>
      </c>
      <c r="F1066" s="9" t="s">
        <v>7</v>
      </c>
      <c r="G1066" s="9" t="s">
        <v>8</v>
      </c>
      <c r="H1066" s="9" t="s">
        <v>9</v>
      </c>
      <c r="I1066" s="10" t="s">
        <v>10</v>
      </c>
      <c r="J1066" s="10" t="s">
        <v>11</v>
      </c>
      <c r="K1066" s="11" t="s">
        <v>12</v>
      </c>
      <c r="L1066" s="10" t="s">
        <v>13</v>
      </c>
      <c r="M1066" s="11" t="s">
        <v>14</v>
      </c>
      <c r="N1066" s="12" t="s">
        <v>15</v>
      </c>
      <c r="O1066" s="57" t="s">
        <v>16</v>
      </c>
      <c r="P1066" s="57" t="s">
        <v>17</v>
      </c>
      <c r="Q1066" s="54"/>
      <c r="R1066" s="52"/>
      <c r="S1066" s="1"/>
      <c r="T1066" s="1"/>
      <c r="U1066" s="1"/>
    </row>
    <row r="1067" spans="1:21" x14ac:dyDescent="0.3">
      <c r="A1067" s="1"/>
      <c r="B1067" s="56"/>
      <c r="C1067" s="56"/>
      <c r="D1067" s="13" t="s">
        <v>18</v>
      </c>
      <c r="E1067" s="13" t="s">
        <v>18</v>
      </c>
      <c r="F1067" s="13" t="s">
        <v>18</v>
      </c>
      <c r="G1067" s="13" t="s">
        <v>18</v>
      </c>
      <c r="H1067" s="13" t="s">
        <v>18</v>
      </c>
      <c r="I1067" s="13" t="s">
        <v>18</v>
      </c>
      <c r="J1067" s="13" t="s">
        <v>18</v>
      </c>
      <c r="K1067" s="13" t="s">
        <v>18</v>
      </c>
      <c r="L1067" s="13" t="s">
        <v>18</v>
      </c>
      <c r="M1067" s="13" t="s">
        <v>18</v>
      </c>
      <c r="N1067" s="14" t="s">
        <v>29</v>
      </c>
      <c r="O1067" s="58"/>
      <c r="P1067" s="58"/>
      <c r="Q1067" s="54"/>
      <c r="R1067" s="52"/>
      <c r="S1067" s="1"/>
      <c r="T1067" s="1"/>
      <c r="U1067" s="1"/>
    </row>
    <row r="1068" spans="1:21" x14ac:dyDescent="0.3">
      <c r="A1068" s="1"/>
      <c r="B1068" s="59" t="s">
        <v>20</v>
      </c>
      <c r="C1068" s="60"/>
      <c r="D1068" s="16">
        <v>0.1</v>
      </c>
      <c r="E1068" s="16">
        <v>0.05</v>
      </c>
      <c r="F1068" s="16">
        <v>0.1</v>
      </c>
      <c r="G1068" s="16">
        <v>0.1</v>
      </c>
      <c r="H1068" s="16">
        <v>0.05</v>
      </c>
      <c r="I1068" s="17">
        <v>0.1</v>
      </c>
      <c r="J1068" s="17">
        <v>0.35</v>
      </c>
      <c r="K1068" s="17">
        <v>0.08</v>
      </c>
      <c r="L1068" s="17">
        <v>0.02</v>
      </c>
      <c r="M1068" s="17">
        <v>0.05</v>
      </c>
      <c r="N1068" s="19">
        <v>1</v>
      </c>
      <c r="O1068" s="20"/>
      <c r="P1068" s="22"/>
      <c r="Q1068" s="54"/>
      <c r="R1068" s="52"/>
      <c r="S1068" s="1"/>
      <c r="T1068" s="1"/>
      <c r="U1068" s="1"/>
    </row>
    <row r="1069" spans="1:21" ht="18" x14ac:dyDescent="0.3">
      <c r="A1069" s="1"/>
      <c r="B1069" s="23">
        <v>1</v>
      </c>
      <c r="C1069" s="24" t="s">
        <v>528</v>
      </c>
      <c r="D1069" s="25">
        <v>0.98</v>
      </c>
      <c r="E1069" s="25">
        <v>0.98</v>
      </c>
      <c r="F1069" s="25">
        <v>1</v>
      </c>
      <c r="G1069" s="25">
        <v>0.91490000000000005</v>
      </c>
      <c r="H1069" s="25">
        <v>1</v>
      </c>
      <c r="I1069" s="25">
        <v>0.9919</v>
      </c>
      <c r="J1069" s="25">
        <v>0.8</v>
      </c>
      <c r="K1069" s="25">
        <v>1</v>
      </c>
      <c r="L1069" s="26">
        <v>0</v>
      </c>
      <c r="M1069" s="26">
        <v>0.5</v>
      </c>
      <c r="N1069" s="27">
        <v>0.87270000000000003</v>
      </c>
      <c r="O1069" s="28">
        <v>0</v>
      </c>
      <c r="P1069" s="27">
        <v>0.87270000000000003</v>
      </c>
      <c r="Q1069" s="54"/>
      <c r="R1069" s="52"/>
      <c r="S1069" s="1"/>
      <c r="T1069" s="1"/>
      <c r="U1069" s="1"/>
    </row>
    <row r="1070" spans="1:21" ht="18" x14ac:dyDescent="0.3">
      <c r="A1070" s="1"/>
      <c r="B1070" s="23">
        <v>2</v>
      </c>
      <c r="C1070" s="24" t="s">
        <v>529</v>
      </c>
      <c r="D1070" s="25">
        <v>1</v>
      </c>
      <c r="E1070" s="25">
        <v>1</v>
      </c>
      <c r="F1070" s="25">
        <v>1</v>
      </c>
      <c r="G1070" s="25">
        <v>1</v>
      </c>
      <c r="H1070" s="25">
        <v>1</v>
      </c>
      <c r="I1070" s="25">
        <v>0.99590000000000001</v>
      </c>
      <c r="J1070" s="25">
        <v>1</v>
      </c>
      <c r="K1070" s="25">
        <v>1</v>
      </c>
      <c r="L1070" s="26">
        <v>0</v>
      </c>
      <c r="M1070" s="26">
        <v>1</v>
      </c>
      <c r="N1070" s="27">
        <v>0.97960000000000003</v>
      </c>
      <c r="O1070" s="28">
        <v>0</v>
      </c>
      <c r="P1070" s="27">
        <v>0.97960000000000003</v>
      </c>
      <c r="Q1070" s="54"/>
      <c r="R1070" s="52"/>
      <c r="S1070" s="1"/>
      <c r="T1070" s="1"/>
      <c r="U1070" s="1"/>
    </row>
    <row r="1071" spans="1:21" ht="18" x14ac:dyDescent="0.3">
      <c r="A1071" s="1"/>
      <c r="B1071" s="23">
        <v>3</v>
      </c>
      <c r="C1071" s="24" t="s">
        <v>530</v>
      </c>
      <c r="D1071" s="25">
        <v>1</v>
      </c>
      <c r="E1071" s="25">
        <v>1</v>
      </c>
      <c r="F1071" s="25">
        <v>1</v>
      </c>
      <c r="G1071" s="25">
        <v>1</v>
      </c>
      <c r="H1071" s="25">
        <v>1</v>
      </c>
      <c r="I1071" s="25">
        <v>0.99790000000000001</v>
      </c>
      <c r="J1071" s="25">
        <v>1</v>
      </c>
      <c r="K1071" s="25">
        <v>0.5</v>
      </c>
      <c r="L1071" s="26">
        <v>0</v>
      </c>
      <c r="M1071" s="26">
        <v>0.75</v>
      </c>
      <c r="N1071" s="27">
        <v>0.92730000000000001</v>
      </c>
      <c r="O1071" s="28">
        <v>0</v>
      </c>
      <c r="P1071" s="27">
        <v>0.92730000000000001</v>
      </c>
      <c r="Q1071" s="54"/>
      <c r="R1071" s="52"/>
      <c r="S1071" s="1"/>
      <c r="T1071" s="1"/>
      <c r="U1071" s="1"/>
    </row>
    <row r="1072" spans="1:21" ht="18" x14ac:dyDescent="0.3">
      <c r="A1072" s="1"/>
      <c r="B1072" s="23">
        <v>4</v>
      </c>
      <c r="C1072" s="24" t="s">
        <v>531</v>
      </c>
      <c r="D1072" s="25">
        <v>1</v>
      </c>
      <c r="E1072" s="25">
        <v>1</v>
      </c>
      <c r="F1072" s="25">
        <v>1</v>
      </c>
      <c r="G1072" s="25">
        <v>0.9375</v>
      </c>
      <c r="H1072" s="25">
        <v>1</v>
      </c>
      <c r="I1072" s="25">
        <v>0.9728</v>
      </c>
      <c r="J1072" s="25">
        <v>0.8</v>
      </c>
      <c r="K1072" s="25">
        <v>0</v>
      </c>
      <c r="L1072" s="26">
        <v>0</v>
      </c>
      <c r="M1072" s="26">
        <v>0.5</v>
      </c>
      <c r="N1072" s="27">
        <v>0.79600000000000004</v>
      </c>
      <c r="O1072" s="28">
        <v>0</v>
      </c>
      <c r="P1072" s="27">
        <v>0.79600000000000004</v>
      </c>
      <c r="Q1072" s="54"/>
      <c r="R1072" s="52"/>
      <c r="S1072" s="1"/>
      <c r="T1072" s="1"/>
      <c r="U1072" s="1"/>
    </row>
    <row r="1073" spans="1:21" ht="18" x14ac:dyDescent="0.3">
      <c r="A1073" s="1"/>
      <c r="B1073" s="23">
        <v>5</v>
      </c>
      <c r="C1073" s="24" t="s">
        <v>532</v>
      </c>
      <c r="D1073" s="25">
        <v>1</v>
      </c>
      <c r="E1073" s="25">
        <v>1</v>
      </c>
      <c r="F1073" s="25">
        <v>1</v>
      </c>
      <c r="G1073" s="25">
        <v>1</v>
      </c>
      <c r="H1073" s="25">
        <v>0</v>
      </c>
      <c r="I1073" s="25">
        <v>0.99670000000000003</v>
      </c>
      <c r="J1073" s="25">
        <v>1</v>
      </c>
      <c r="K1073" s="25">
        <v>1</v>
      </c>
      <c r="L1073" s="26">
        <v>0</v>
      </c>
      <c r="M1073" s="26">
        <v>1</v>
      </c>
      <c r="N1073" s="27">
        <v>0.92969999999999997</v>
      </c>
      <c r="O1073" s="28">
        <v>0</v>
      </c>
      <c r="P1073" s="27">
        <v>0.92969999999999997</v>
      </c>
      <c r="Q1073" s="54"/>
      <c r="R1073" s="52"/>
      <c r="S1073" s="1"/>
      <c r="T1073" s="1"/>
      <c r="U1073" s="1"/>
    </row>
    <row r="1074" spans="1:21" ht="144" x14ac:dyDescent="0.3">
      <c r="A1074" s="1"/>
      <c r="B1074" s="23">
        <v>6</v>
      </c>
      <c r="C1074" s="33" t="s">
        <v>533</v>
      </c>
      <c r="D1074" s="25">
        <v>0.98</v>
      </c>
      <c r="E1074" s="25">
        <v>0.97</v>
      </c>
      <c r="F1074" s="25">
        <v>1</v>
      </c>
      <c r="G1074" s="25">
        <v>0.93459999999999999</v>
      </c>
      <c r="H1074" s="25">
        <v>1</v>
      </c>
      <c r="I1074" s="25">
        <v>0.99229999999999996</v>
      </c>
      <c r="J1074" s="25">
        <v>1</v>
      </c>
      <c r="K1074" s="25">
        <v>1</v>
      </c>
      <c r="L1074" s="26">
        <v>1</v>
      </c>
      <c r="M1074" s="26">
        <v>0</v>
      </c>
      <c r="N1074" s="27">
        <v>0.98860000000000003</v>
      </c>
      <c r="O1074" s="28">
        <v>0</v>
      </c>
      <c r="P1074" s="27">
        <v>0.98860000000000003</v>
      </c>
      <c r="Q1074" s="54"/>
      <c r="R1074" s="52"/>
      <c r="S1074" s="1"/>
      <c r="T1074" s="1"/>
      <c r="U1074" s="1"/>
    </row>
    <row r="1075" spans="1:21" x14ac:dyDescent="0.3">
      <c r="A1075" s="1"/>
      <c r="B1075" s="59" t="s">
        <v>27</v>
      </c>
      <c r="C1075" s="60"/>
      <c r="D1075" s="31">
        <v>0.99</v>
      </c>
      <c r="E1075" s="31">
        <v>0.99</v>
      </c>
      <c r="F1075" s="31">
        <v>1</v>
      </c>
      <c r="G1075" s="31">
        <v>0.96</v>
      </c>
      <c r="H1075" s="31">
        <v>0.83</v>
      </c>
      <c r="I1075" s="31">
        <v>0.99</v>
      </c>
      <c r="J1075" s="31">
        <v>0.93</v>
      </c>
      <c r="K1075" s="31">
        <v>0.75</v>
      </c>
      <c r="L1075" s="31">
        <v>0.17</v>
      </c>
      <c r="M1075" s="31">
        <v>0.63</v>
      </c>
      <c r="N1075" s="31">
        <v>0.92</v>
      </c>
      <c r="O1075" s="31">
        <v>0</v>
      </c>
      <c r="P1075" s="31">
        <v>0.92</v>
      </c>
      <c r="Q1075" s="54"/>
      <c r="R1075" s="52"/>
      <c r="S1075" s="1"/>
      <c r="T1075" s="1"/>
      <c r="U1075" s="1"/>
    </row>
    <row r="1076" spans="1:21" x14ac:dyDescent="0.3">
      <c r="A1076" s="1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32"/>
      <c r="N1076" s="32"/>
      <c r="O1076" s="32"/>
      <c r="P1076" s="32"/>
      <c r="Q1076" s="52"/>
      <c r="R1076" s="52"/>
      <c r="S1076" s="1"/>
      <c r="T1076" s="1"/>
      <c r="U1076" s="1"/>
    </row>
    <row r="1077" spans="1:21" x14ac:dyDescent="0.3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52"/>
      <c r="R1077" s="52"/>
      <c r="S1077" s="1"/>
      <c r="T1077" s="1"/>
      <c r="U1077" s="1"/>
    </row>
    <row r="1078" spans="1:21" ht="15.6" x14ac:dyDescent="0.3">
      <c r="A1078" s="1"/>
      <c r="B1078" s="3"/>
      <c r="C1078" s="4" t="s">
        <v>534</v>
      </c>
      <c r="D1078" s="3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5" t="s">
        <v>2</v>
      </c>
      <c r="Q1078" s="54"/>
      <c r="R1078" s="52"/>
      <c r="S1078" s="1"/>
      <c r="T1078" s="1"/>
      <c r="U1078" s="1"/>
    </row>
    <row r="1079" spans="1:21" ht="15.6" x14ac:dyDescent="0.3">
      <c r="A1079" s="1"/>
      <c r="B1079" s="3"/>
      <c r="C1079" s="6">
        <v>46174</v>
      </c>
      <c r="D1079" s="3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7">
        <v>0.94</v>
      </c>
      <c r="Q1079" s="54"/>
      <c r="R1079" s="52"/>
      <c r="S1079" s="1"/>
      <c r="T1079" s="1"/>
      <c r="U1079" s="1"/>
    </row>
    <row r="1080" spans="1:21" ht="42" x14ac:dyDescent="0.3">
      <c r="A1080" s="1"/>
      <c r="B1080" s="55" t="s">
        <v>3</v>
      </c>
      <c r="C1080" s="55" t="s">
        <v>4</v>
      </c>
      <c r="D1080" s="8" t="s">
        <v>5</v>
      </c>
      <c r="E1080" s="8" t="s">
        <v>6</v>
      </c>
      <c r="F1080" s="9" t="s">
        <v>7</v>
      </c>
      <c r="G1080" s="9" t="s">
        <v>8</v>
      </c>
      <c r="H1080" s="9" t="s">
        <v>9</v>
      </c>
      <c r="I1080" s="10" t="s">
        <v>10</v>
      </c>
      <c r="J1080" s="10" t="s">
        <v>11</v>
      </c>
      <c r="K1080" s="11" t="s">
        <v>12</v>
      </c>
      <c r="L1080" s="10" t="s">
        <v>13</v>
      </c>
      <c r="M1080" s="11" t="s">
        <v>14</v>
      </c>
      <c r="N1080" s="12" t="s">
        <v>15</v>
      </c>
      <c r="O1080" s="57" t="s">
        <v>16</v>
      </c>
      <c r="P1080" s="57" t="s">
        <v>17</v>
      </c>
      <c r="Q1080" s="54"/>
      <c r="R1080" s="52"/>
      <c r="S1080" s="1"/>
      <c r="T1080" s="1"/>
      <c r="U1080" s="1"/>
    </row>
    <row r="1081" spans="1:21" x14ac:dyDescent="0.3">
      <c r="A1081" s="1"/>
      <c r="B1081" s="56"/>
      <c r="C1081" s="56"/>
      <c r="D1081" s="13" t="s">
        <v>18</v>
      </c>
      <c r="E1081" s="13" t="s">
        <v>18</v>
      </c>
      <c r="F1081" s="13" t="s">
        <v>18</v>
      </c>
      <c r="G1081" s="13" t="s">
        <v>18</v>
      </c>
      <c r="H1081" s="13" t="s">
        <v>18</v>
      </c>
      <c r="I1081" s="13" t="s">
        <v>18</v>
      </c>
      <c r="J1081" s="13" t="s">
        <v>18</v>
      </c>
      <c r="K1081" s="13" t="s">
        <v>18</v>
      </c>
      <c r="L1081" s="13" t="s">
        <v>18</v>
      </c>
      <c r="M1081" s="13" t="s">
        <v>18</v>
      </c>
      <c r="N1081" s="14" t="s">
        <v>29</v>
      </c>
      <c r="O1081" s="58"/>
      <c r="P1081" s="58"/>
      <c r="Q1081" s="54"/>
      <c r="R1081" s="52"/>
      <c r="S1081" s="1"/>
      <c r="T1081" s="1"/>
      <c r="U1081" s="1"/>
    </row>
    <row r="1082" spans="1:21" x14ac:dyDescent="0.3">
      <c r="A1082" s="1"/>
      <c r="B1082" s="59" t="s">
        <v>20</v>
      </c>
      <c r="C1082" s="60"/>
      <c r="D1082" s="16">
        <v>0.1</v>
      </c>
      <c r="E1082" s="16">
        <v>0.05</v>
      </c>
      <c r="F1082" s="16">
        <v>0.1</v>
      </c>
      <c r="G1082" s="16">
        <v>0.1</v>
      </c>
      <c r="H1082" s="16">
        <v>0.05</v>
      </c>
      <c r="I1082" s="17">
        <v>0.1</v>
      </c>
      <c r="J1082" s="17">
        <v>0.35</v>
      </c>
      <c r="K1082" s="17">
        <v>0.08</v>
      </c>
      <c r="L1082" s="17">
        <v>0.02</v>
      </c>
      <c r="M1082" s="17">
        <v>0.05</v>
      </c>
      <c r="N1082" s="19">
        <v>1</v>
      </c>
      <c r="O1082" s="20"/>
      <c r="P1082" s="22"/>
      <c r="Q1082" s="54"/>
      <c r="R1082" s="52"/>
      <c r="S1082" s="1"/>
      <c r="T1082" s="1"/>
      <c r="U1082" s="1"/>
    </row>
    <row r="1083" spans="1:21" ht="18" x14ac:dyDescent="0.3">
      <c r="A1083" s="1"/>
      <c r="B1083" s="23">
        <v>1</v>
      </c>
      <c r="C1083" s="24" t="s">
        <v>535</v>
      </c>
      <c r="D1083" s="25">
        <v>1</v>
      </c>
      <c r="E1083" s="25">
        <v>1</v>
      </c>
      <c r="F1083" s="25">
        <v>1</v>
      </c>
      <c r="G1083" s="25">
        <v>0.85270000000000001</v>
      </c>
      <c r="H1083" s="25">
        <v>1</v>
      </c>
      <c r="I1083" s="25">
        <v>0.97399999999999998</v>
      </c>
      <c r="J1083" s="25">
        <v>0.8</v>
      </c>
      <c r="K1083" s="25">
        <v>0.5</v>
      </c>
      <c r="L1083" s="26">
        <v>0</v>
      </c>
      <c r="M1083" s="26">
        <v>1</v>
      </c>
      <c r="N1083" s="27">
        <v>0.85270000000000001</v>
      </c>
      <c r="O1083" s="28">
        <v>0</v>
      </c>
      <c r="P1083" s="27">
        <v>0.85270000000000001</v>
      </c>
      <c r="Q1083" s="54"/>
      <c r="R1083" s="52"/>
      <c r="S1083" s="1"/>
      <c r="T1083" s="1"/>
      <c r="U1083" s="1"/>
    </row>
    <row r="1084" spans="1:21" ht="18" x14ac:dyDescent="0.3">
      <c r="A1084" s="1"/>
      <c r="B1084" s="23">
        <v>2</v>
      </c>
      <c r="C1084" s="24" t="s">
        <v>536</v>
      </c>
      <c r="D1084" s="25">
        <v>0.98</v>
      </c>
      <c r="E1084" s="25">
        <v>1</v>
      </c>
      <c r="F1084" s="25">
        <v>1</v>
      </c>
      <c r="G1084" s="25">
        <v>1</v>
      </c>
      <c r="H1084" s="25">
        <v>1</v>
      </c>
      <c r="I1084" s="25">
        <v>0.99770000000000003</v>
      </c>
      <c r="J1084" s="25">
        <v>0.8</v>
      </c>
      <c r="K1084" s="25">
        <v>0.5</v>
      </c>
      <c r="L1084" s="26">
        <v>1</v>
      </c>
      <c r="M1084" s="26">
        <v>1</v>
      </c>
      <c r="N1084" s="27">
        <v>0.88780000000000003</v>
      </c>
      <c r="O1084" s="28">
        <v>0</v>
      </c>
      <c r="P1084" s="27">
        <v>0.88780000000000003</v>
      </c>
      <c r="Q1084" s="54"/>
      <c r="R1084" s="52"/>
      <c r="S1084" s="1"/>
      <c r="T1084" s="1"/>
      <c r="U1084" s="1"/>
    </row>
    <row r="1085" spans="1:21" ht="18" x14ac:dyDescent="0.3">
      <c r="A1085" s="1"/>
      <c r="B1085" s="23">
        <v>3</v>
      </c>
      <c r="C1085" s="24" t="s">
        <v>537</v>
      </c>
      <c r="D1085" s="25">
        <v>0.96</v>
      </c>
      <c r="E1085" s="25">
        <v>0.99</v>
      </c>
      <c r="F1085" s="25">
        <v>1</v>
      </c>
      <c r="G1085" s="25">
        <v>0.99209999999999998</v>
      </c>
      <c r="H1085" s="25">
        <v>1</v>
      </c>
      <c r="I1085" s="25">
        <v>1</v>
      </c>
      <c r="J1085" s="25">
        <v>1</v>
      </c>
      <c r="K1085" s="25">
        <v>1</v>
      </c>
      <c r="L1085" s="26">
        <v>0</v>
      </c>
      <c r="M1085" s="26">
        <v>0.75</v>
      </c>
      <c r="N1085" s="27">
        <v>0.96220000000000006</v>
      </c>
      <c r="O1085" s="28">
        <v>0</v>
      </c>
      <c r="P1085" s="27">
        <v>0.96220000000000006</v>
      </c>
      <c r="Q1085" s="54"/>
      <c r="R1085" s="52"/>
      <c r="S1085" s="1"/>
      <c r="T1085" s="1"/>
      <c r="U1085" s="1"/>
    </row>
    <row r="1086" spans="1:21" ht="18" x14ac:dyDescent="0.3">
      <c r="A1086" s="1"/>
      <c r="B1086" s="23">
        <v>4</v>
      </c>
      <c r="C1086" s="24" t="s">
        <v>538</v>
      </c>
      <c r="D1086" s="25">
        <v>0.96</v>
      </c>
      <c r="E1086" s="25">
        <v>1</v>
      </c>
      <c r="F1086" s="25">
        <v>1</v>
      </c>
      <c r="G1086" s="25">
        <v>1</v>
      </c>
      <c r="H1086" s="25">
        <v>1</v>
      </c>
      <c r="I1086" s="25">
        <v>1</v>
      </c>
      <c r="J1086" s="25">
        <v>1</v>
      </c>
      <c r="K1086" s="25">
        <v>1</v>
      </c>
      <c r="L1086" s="26">
        <v>0</v>
      </c>
      <c r="M1086" s="26">
        <v>0.75</v>
      </c>
      <c r="N1086" s="27">
        <v>0.96350000000000002</v>
      </c>
      <c r="O1086" s="28">
        <v>0</v>
      </c>
      <c r="P1086" s="27">
        <v>0.96350000000000002</v>
      </c>
      <c r="Q1086" s="54"/>
      <c r="R1086" s="52"/>
      <c r="S1086" s="1"/>
      <c r="T1086" s="1"/>
      <c r="U1086" s="1"/>
    </row>
    <row r="1087" spans="1:21" ht="18" x14ac:dyDescent="0.3">
      <c r="A1087" s="1"/>
      <c r="B1087" s="23">
        <v>5</v>
      </c>
      <c r="C1087" s="24" t="s">
        <v>539</v>
      </c>
      <c r="D1087" s="25">
        <v>1</v>
      </c>
      <c r="E1087" s="25">
        <v>1</v>
      </c>
      <c r="F1087" s="25">
        <v>1</v>
      </c>
      <c r="G1087" s="25">
        <v>0.98299999999999998</v>
      </c>
      <c r="H1087" s="25">
        <v>1</v>
      </c>
      <c r="I1087" s="25">
        <v>0.99329999999999996</v>
      </c>
      <c r="J1087" s="25">
        <v>1</v>
      </c>
      <c r="K1087" s="25">
        <v>0.5</v>
      </c>
      <c r="L1087" s="26">
        <v>0</v>
      </c>
      <c r="M1087" s="26">
        <v>1</v>
      </c>
      <c r="N1087" s="27">
        <v>0.93759999999999999</v>
      </c>
      <c r="O1087" s="28">
        <v>0</v>
      </c>
      <c r="P1087" s="27">
        <v>0.93759999999999999</v>
      </c>
      <c r="Q1087" s="54"/>
      <c r="R1087" s="52"/>
      <c r="S1087" s="1"/>
      <c r="T1087" s="1"/>
      <c r="U1087" s="1"/>
    </row>
    <row r="1088" spans="1:21" ht="18" x14ac:dyDescent="0.3">
      <c r="A1088" s="1"/>
      <c r="B1088" s="23">
        <v>6</v>
      </c>
      <c r="C1088" s="24" t="s">
        <v>540</v>
      </c>
      <c r="D1088" s="25">
        <v>1</v>
      </c>
      <c r="E1088" s="25">
        <v>1</v>
      </c>
      <c r="F1088" s="25">
        <v>1</v>
      </c>
      <c r="G1088" s="25">
        <v>1</v>
      </c>
      <c r="H1088" s="25">
        <v>1</v>
      </c>
      <c r="I1088" s="25">
        <v>1</v>
      </c>
      <c r="J1088" s="25">
        <v>1</v>
      </c>
      <c r="K1088" s="25">
        <v>0.5</v>
      </c>
      <c r="L1088" s="26">
        <v>1</v>
      </c>
      <c r="M1088" s="26">
        <v>1</v>
      </c>
      <c r="N1088" s="27">
        <v>0.96</v>
      </c>
      <c r="O1088" s="28">
        <v>0</v>
      </c>
      <c r="P1088" s="27">
        <v>0.96</v>
      </c>
      <c r="Q1088" s="54"/>
      <c r="R1088" s="52"/>
      <c r="S1088" s="1"/>
      <c r="T1088" s="1"/>
      <c r="U1088" s="1"/>
    </row>
    <row r="1089" spans="1:21" ht="90" x14ac:dyDescent="0.3">
      <c r="A1089" s="1"/>
      <c r="B1089" s="23">
        <v>7</v>
      </c>
      <c r="C1089" s="33" t="s">
        <v>541</v>
      </c>
      <c r="D1089" s="25">
        <v>1</v>
      </c>
      <c r="E1089" s="25">
        <v>1</v>
      </c>
      <c r="F1089" s="25">
        <v>1</v>
      </c>
      <c r="G1089" s="25">
        <v>1</v>
      </c>
      <c r="H1089" s="25">
        <v>1</v>
      </c>
      <c r="I1089" s="25">
        <v>1</v>
      </c>
      <c r="J1089" s="25">
        <v>1</v>
      </c>
      <c r="K1089" s="25">
        <v>1</v>
      </c>
      <c r="L1089" s="26">
        <v>1</v>
      </c>
      <c r="M1089" s="26">
        <v>0</v>
      </c>
      <c r="N1089" s="27">
        <v>1</v>
      </c>
      <c r="O1089" s="28">
        <v>0</v>
      </c>
      <c r="P1089" s="27">
        <v>1</v>
      </c>
      <c r="Q1089" s="54"/>
      <c r="R1089" s="52"/>
      <c r="S1089" s="1"/>
      <c r="T1089" s="1"/>
      <c r="U1089" s="1"/>
    </row>
    <row r="1090" spans="1:21" x14ac:dyDescent="0.3">
      <c r="A1090" s="1"/>
      <c r="B1090" s="59" t="s">
        <v>27</v>
      </c>
      <c r="C1090" s="60"/>
      <c r="D1090" s="31">
        <v>0.99</v>
      </c>
      <c r="E1090" s="31">
        <v>1</v>
      </c>
      <c r="F1090" s="31">
        <v>1</v>
      </c>
      <c r="G1090" s="31">
        <v>0.98</v>
      </c>
      <c r="H1090" s="31">
        <v>1</v>
      </c>
      <c r="I1090" s="31">
        <v>1</v>
      </c>
      <c r="J1090" s="31">
        <v>0.94</v>
      </c>
      <c r="K1090" s="31">
        <v>0.71</v>
      </c>
      <c r="L1090" s="31">
        <v>0.43</v>
      </c>
      <c r="M1090" s="31">
        <v>0.79</v>
      </c>
      <c r="N1090" s="31">
        <v>0.95</v>
      </c>
      <c r="O1090" s="31">
        <v>0</v>
      </c>
      <c r="P1090" s="31">
        <v>0.94</v>
      </c>
      <c r="Q1090" s="54"/>
      <c r="R1090" s="52"/>
      <c r="S1090" s="1"/>
      <c r="T1090" s="1"/>
      <c r="U1090" s="1"/>
    </row>
    <row r="1091" spans="1:21" x14ac:dyDescent="0.3">
      <c r="A1091" s="1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32"/>
      <c r="N1091" s="32"/>
      <c r="O1091" s="32"/>
      <c r="P1091" s="35"/>
      <c r="Q1091" s="54"/>
      <c r="R1091" s="52"/>
      <c r="S1091" s="1"/>
      <c r="T1091" s="1"/>
      <c r="U1091" s="1"/>
    </row>
    <row r="1092" spans="1:21" x14ac:dyDescent="0.3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52"/>
      <c r="R1092" s="52"/>
      <c r="S1092" s="1"/>
      <c r="T1092" s="1"/>
      <c r="U1092" s="1"/>
    </row>
    <row r="1093" spans="1:21" ht="15.6" x14ac:dyDescent="0.3">
      <c r="A1093" s="1"/>
      <c r="B1093" s="3"/>
      <c r="C1093" s="4" t="s">
        <v>542</v>
      </c>
      <c r="D1093" s="3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5" t="s">
        <v>2</v>
      </c>
      <c r="Q1093" s="54"/>
      <c r="R1093" s="52"/>
      <c r="S1093" s="1"/>
      <c r="T1093" s="1"/>
      <c r="U1093" s="1"/>
    </row>
    <row r="1094" spans="1:21" ht="15.6" x14ac:dyDescent="0.3">
      <c r="A1094" s="1"/>
      <c r="B1094" s="3"/>
      <c r="C1094" s="6">
        <v>46174</v>
      </c>
      <c r="D1094" s="3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7">
        <v>0.86</v>
      </c>
      <c r="Q1094" s="54"/>
      <c r="R1094" s="52"/>
      <c r="S1094" s="1"/>
      <c r="T1094" s="1"/>
      <c r="U1094" s="1"/>
    </row>
    <row r="1095" spans="1:21" ht="42" x14ac:dyDescent="0.3">
      <c r="A1095" s="1"/>
      <c r="B1095" s="55" t="s">
        <v>3</v>
      </c>
      <c r="C1095" s="55" t="s">
        <v>4</v>
      </c>
      <c r="D1095" s="8" t="s">
        <v>5</v>
      </c>
      <c r="E1095" s="8" t="s">
        <v>6</v>
      </c>
      <c r="F1095" s="9" t="s">
        <v>7</v>
      </c>
      <c r="G1095" s="9" t="s">
        <v>8</v>
      </c>
      <c r="H1095" s="9" t="s">
        <v>9</v>
      </c>
      <c r="I1095" s="10" t="s">
        <v>10</v>
      </c>
      <c r="J1095" s="10" t="s">
        <v>11</v>
      </c>
      <c r="K1095" s="11" t="s">
        <v>12</v>
      </c>
      <c r="L1095" s="10" t="s">
        <v>13</v>
      </c>
      <c r="M1095" s="11" t="s">
        <v>14</v>
      </c>
      <c r="N1095" s="12" t="s">
        <v>15</v>
      </c>
      <c r="O1095" s="57" t="s">
        <v>16</v>
      </c>
      <c r="P1095" s="57" t="s">
        <v>17</v>
      </c>
      <c r="Q1095" s="54"/>
      <c r="R1095" s="52"/>
      <c r="S1095" s="1"/>
      <c r="T1095" s="1"/>
      <c r="U1095" s="1"/>
    </row>
    <row r="1096" spans="1:21" x14ac:dyDescent="0.3">
      <c r="A1096" s="1"/>
      <c r="B1096" s="56"/>
      <c r="C1096" s="56"/>
      <c r="D1096" s="13" t="s">
        <v>18</v>
      </c>
      <c r="E1096" s="13" t="s">
        <v>18</v>
      </c>
      <c r="F1096" s="13" t="s">
        <v>18</v>
      </c>
      <c r="G1096" s="13" t="s">
        <v>18</v>
      </c>
      <c r="H1096" s="13" t="s">
        <v>18</v>
      </c>
      <c r="I1096" s="13" t="s">
        <v>18</v>
      </c>
      <c r="J1096" s="13" t="s">
        <v>18</v>
      </c>
      <c r="K1096" s="13" t="s">
        <v>18</v>
      </c>
      <c r="L1096" s="13" t="s">
        <v>18</v>
      </c>
      <c r="M1096" s="13" t="s">
        <v>18</v>
      </c>
      <c r="N1096" s="14" t="s">
        <v>29</v>
      </c>
      <c r="O1096" s="58"/>
      <c r="P1096" s="58"/>
      <c r="Q1096" s="54"/>
      <c r="R1096" s="52"/>
      <c r="S1096" s="1"/>
      <c r="T1096" s="1"/>
      <c r="U1096" s="1"/>
    </row>
    <row r="1097" spans="1:21" x14ac:dyDescent="0.3">
      <c r="A1097" s="1"/>
      <c r="B1097" s="59" t="s">
        <v>20</v>
      </c>
      <c r="C1097" s="60"/>
      <c r="D1097" s="16">
        <v>0.1</v>
      </c>
      <c r="E1097" s="16">
        <v>0.05</v>
      </c>
      <c r="F1097" s="16">
        <v>0.1</v>
      </c>
      <c r="G1097" s="16">
        <v>0.1</v>
      </c>
      <c r="H1097" s="16">
        <v>0.05</v>
      </c>
      <c r="I1097" s="17">
        <v>0.1</v>
      </c>
      <c r="J1097" s="17">
        <v>0.35</v>
      </c>
      <c r="K1097" s="17">
        <v>0.08</v>
      </c>
      <c r="L1097" s="17">
        <v>0.02</v>
      </c>
      <c r="M1097" s="17">
        <v>0.05</v>
      </c>
      <c r="N1097" s="19">
        <v>1</v>
      </c>
      <c r="O1097" s="20"/>
      <c r="P1097" s="22"/>
      <c r="Q1097" s="54"/>
      <c r="R1097" s="52"/>
      <c r="S1097" s="1"/>
      <c r="T1097" s="1"/>
      <c r="U1097" s="1"/>
    </row>
    <row r="1098" spans="1:21" ht="18" x14ac:dyDescent="0.3">
      <c r="A1098" s="1"/>
      <c r="B1098" s="23">
        <v>1</v>
      </c>
      <c r="C1098" s="24" t="s">
        <v>543</v>
      </c>
      <c r="D1098" s="25">
        <v>1</v>
      </c>
      <c r="E1098" s="25">
        <v>1</v>
      </c>
      <c r="F1098" s="25">
        <v>1</v>
      </c>
      <c r="G1098" s="25">
        <v>0.97560000000000002</v>
      </c>
      <c r="H1098" s="25">
        <v>1</v>
      </c>
      <c r="I1098" s="25">
        <v>1</v>
      </c>
      <c r="J1098" s="25">
        <v>0.8</v>
      </c>
      <c r="K1098" s="25">
        <v>0.5</v>
      </c>
      <c r="L1098" s="26">
        <v>0</v>
      </c>
      <c r="M1098" s="26">
        <v>0.5</v>
      </c>
      <c r="N1098" s="27">
        <v>0.84260000000000002</v>
      </c>
      <c r="O1098" s="28">
        <v>0</v>
      </c>
      <c r="P1098" s="27">
        <v>0.84260000000000002</v>
      </c>
      <c r="Q1098" s="54"/>
      <c r="R1098" s="52"/>
      <c r="S1098" s="1"/>
      <c r="T1098" s="1"/>
      <c r="U1098" s="1"/>
    </row>
    <row r="1099" spans="1:21" ht="18" x14ac:dyDescent="0.3">
      <c r="A1099" s="1"/>
      <c r="B1099" s="23">
        <v>2</v>
      </c>
      <c r="C1099" s="24" t="s">
        <v>544</v>
      </c>
      <c r="D1099" s="25">
        <v>1</v>
      </c>
      <c r="E1099" s="25">
        <v>1</v>
      </c>
      <c r="F1099" s="25">
        <v>1</v>
      </c>
      <c r="G1099" s="25">
        <v>1</v>
      </c>
      <c r="H1099" s="25">
        <v>1</v>
      </c>
      <c r="I1099" s="25">
        <v>0.9829</v>
      </c>
      <c r="J1099" s="25">
        <v>0.8</v>
      </c>
      <c r="K1099" s="25">
        <v>0.5</v>
      </c>
      <c r="L1099" s="26">
        <v>0</v>
      </c>
      <c r="M1099" s="26">
        <v>1</v>
      </c>
      <c r="N1099" s="27">
        <v>0.86829999999999996</v>
      </c>
      <c r="O1099" s="28">
        <v>0</v>
      </c>
      <c r="P1099" s="27">
        <v>0.86829999999999996</v>
      </c>
      <c r="Q1099" s="54"/>
      <c r="R1099" s="52"/>
      <c r="S1099" s="1"/>
      <c r="T1099" s="1"/>
      <c r="U1099" s="1"/>
    </row>
    <row r="1100" spans="1:21" ht="18" x14ac:dyDescent="0.3">
      <c r="A1100" s="1"/>
      <c r="B1100" s="23">
        <v>3</v>
      </c>
      <c r="C1100" s="24" t="s">
        <v>545</v>
      </c>
      <c r="D1100" s="25">
        <v>1</v>
      </c>
      <c r="E1100" s="25">
        <v>1</v>
      </c>
      <c r="F1100" s="25">
        <v>1</v>
      </c>
      <c r="G1100" s="25">
        <v>1</v>
      </c>
      <c r="H1100" s="25">
        <v>1</v>
      </c>
      <c r="I1100" s="25">
        <v>1</v>
      </c>
      <c r="J1100" s="25">
        <v>0.8</v>
      </c>
      <c r="K1100" s="25">
        <v>0.5</v>
      </c>
      <c r="L1100" s="26">
        <v>0</v>
      </c>
      <c r="M1100" s="26">
        <v>1</v>
      </c>
      <c r="N1100" s="27">
        <v>0.87</v>
      </c>
      <c r="O1100" s="28">
        <v>0</v>
      </c>
      <c r="P1100" s="27">
        <v>0.87</v>
      </c>
      <c r="Q1100" s="54"/>
      <c r="R1100" s="52"/>
      <c r="S1100" s="1"/>
      <c r="T1100" s="1"/>
      <c r="U1100" s="1"/>
    </row>
    <row r="1101" spans="1:21" ht="18" x14ac:dyDescent="0.3">
      <c r="A1101" s="1"/>
      <c r="B1101" s="23">
        <v>4</v>
      </c>
      <c r="C1101" s="24" t="s">
        <v>546</v>
      </c>
      <c r="D1101" s="25">
        <v>1</v>
      </c>
      <c r="E1101" s="25">
        <v>0.9</v>
      </c>
      <c r="F1101" s="25">
        <v>1</v>
      </c>
      <c r="G1101" s="25">
        <v>1</v>
      </c>
      <c r="H1101" s="25">
        <v>1</v>
      </c>
      <c r="I1101" s="25">
        <v>0.98919999999999997</v>
      </c>
      <c r="J1101" s="25">
        <v>0.8</v>
      </c>
      <c r="K1101" s="25">
        <v>0</v>
      </c>
      <c r="L1101" s="26">
        <v>0</v>
      </c>
      <c r="M1101" s="26">
        <v>1</v>
      </c>
      <c r="N1101" s="27">
        <v>0.82389999999999997</v>
      </c>
      <c r="O1101" s="28">
        <v>0.03</v>
      </c>
      <c r="P1101" s="27">
        <v>0.79390000000000005</v>
      </c>
      <c r="Q1101" s="54"/>
      <c r="R1101" s="52"/>
      <c r="S1101" s="1"/>
      <c r="T1101" s="1"/>
      <c r="U1101" s="1"/>
    </row>
    <row r="1102" spans="1:21" ht="18" x14ac:dyDescent="0.3">
      <c r="A1102" s="1"/>
      <c r="B1102" s="23">
        <v>5</v>
      </c>
      <c r="C1102" s="24" t="s">
        <v>547</v>
      </c>
      <c r="D1102" s="25">
        <v>1</v>
      </c>
      <c r="E1102" s="25">
        <v>1</v>
      </c>
      <c r="F1102" s="25">
        <v>0.95979999999999999</v>
      </c>
      <c r="G1102" s="25">
        <v>1</v>
      </c>
      <c r="H1102" s="25">
        <v>1</v>
      </c>
      <c r="I1102" s="25">
        <v>0.99729999999999996</v>
      </c>
      <c r="J1102" s="25">
        <v>1</v>
      </c>
      <c r="K1102" s="25">
        <v>1</v>
      </c>
      <c r="L1102" s="26">
        <v>0</v>
      </c>
      <c r="M1102" s="26">
        <v>0.5</v>
      </c>
      <c r="N1102" s="27">
        <v>0.95069999999999999</v>
      </c>
      <c r="O1102" s="28">
        <v>0</v>
      </c>
      <c r="P1102" s="27">
        <v>0.95069999999999999</v>
      </c>
      <c r="Q1102" s="54"/>
      <c r="R1102" s="52"/>
      <c r="S1102" s="1"/>
      <c r="T1102" s="1"/>
      <c r="U1102" s="1"/>
    </row>
    <row r="1103" spans="1:21" ht="18" x14ac:dyDescent="0.3">
      <c r="A1103" s="1"/>
      <c r="B1103" s="23">
        <v>6</v>
      </c>
      <c r="C1103" s="24" t="s">
        <v>548</v>
      </c>
      <c r="D1103" s="25">
        <v>1</v>
      </c>
      <c r="E1103" s="25">
        <v>1</v>
      </c>
      <c r="F1103" s="25">
        <v>1</v>
      </c>
      <c r="G1103" s="25">
        <v>0.92949999999999999</v>
      </c>
      <c r="H1103" s="25">
        <v>0</v>
      </c>
      <c r="I1103" s="25">
        <v>0.99790000000000001</v>
      </c>
      <c r="J1103" s="25">
        <v>1</v>
      </c>
      <c r="K1103" s="25">
        <v>0.5</v>
      </c>
      <c r="L1103" s="26">
        <v>0</v>
      </c>
      <c r="M1103" s="26">
        <v>0.5</v>
      </c>
      <c r="N1103" s="27">
        <v>0.85770000000000002</v>
      </c>
      <c r="O1103" s="28">
        <v>0</v>
      </c>
      <c r="P1103" s="27">
        <v>0.85770000000000002</v>
      </c>
      <c r="Q1103" s="54"/>
      <c r="R1103" s="52"/>
      <c r="S1103" s="1"/>
      <c r="T1103" s="1"/>
      <c r="U1103" s="1"/>
    </row>
    <row r="1104" spans="1:21" x14ac:dyDescent="0.3">
      <c r="A1104" s="1"/>
      <c r="B1104" s="59" t="s">
        <v>27</v>
      </c>
      <c r="C1104" s="60"/>
      <c r="D1104" s="31">
        <v>1</v>
      </c>
      <c r="E1104" s="31">
        <v>0.98</v>
      </c>
      <c r="F1104" s="31">
        <v>0.99</v>
      </c>
      <c r="G1104" s="31">
        <v>0.98</v>
      </c>
      <c r="H1104" s="31">
        <v>0.83</v>
      </c>
      <c r="I1104" s="31">
        <v>0.99</v>
      </c>
      <c r="J1104" s="31">
        <v>0.87</v>
      </c>
      <c r="K1104" s="31">
        <v>0.5</v>
      </c>
      <c r="L1104" s="31">
        <v>0</v>
      </c>
      <c r="M1104" s="31">
        <v>0.75</v>
      </c>
      <c r="N1104" s="31">
        <v>0.87</v>
      </c>
      <c r="O1104" s="31">
        <v>0.01</v>
      </c>
      <c r="P1104" s="31">
        <v>0.86</v>
      </c>
      <c r="Q1104" s="54"/>
      <c r="R1104" s="52"/>
      <c r="S1104" s="1"/>
      <c r="T1104" s="1"/>
      <c r="U1104" s="1"/>
    </row>
    <row r="1105" spans="1:21" x14ac:dyDescent="0.3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52"/>
      <c r="R1105" s="52"/>
      <c r="S1105" s="1"/>
      <c r="T1105" s="1"/>
      <c r="U1105" s="1"/>
    </row>
    <row r="1106" spans="1:21" x14ac:dyDescent="0.3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52"/>
      <c r="R1106" s="52"/>
      <c r="S1106" s="1"/>
      <c r="T1106" s="1"/>
      <c r="U1106" s="1"/>
    </row>
    <row r="1107" spans="1:21" ht="15.6" x14ac:dyDescent="0.3">
      <c r="A1107" s="1"/>
      <c r="B1107" s="3"/>
      <c r="C1107" s="4" t="s">
        <v>549</v>
      </c>
      <c r="D1107" s="3"/>
      <c r="E1107" s="3"/>
      <c r="F1107" s="3"/>
      <c r="G1107" s="3"/>
      <c r="H1107" s="3"/>
      <c r="I1107" s="3"/>
      <c r="J1107" s="3"/>
      <c r="K1107" s="3"/>
      <c r="L1107" s="1"/>
      <c r="M1107" s="1"/>
      <c r="N1107" s="1"/>
      <c r="O1107" s="1"/>
      <c r="P1107" s="5" t="s">
        <v>2</v>
      </c>
      <c r="Q1107" s="54"/>
      <c r="R1107" s="52"/>
      <c r="S1107" s="1"/>
      <c r="T1107" s="1"/>
      <c r="U1107" s="1"/>
    </row>
    <row r="1108" spans="1:21" ht="15.6" x14ac:dyDescent="0.3">
      <c r="A1108" s="1"/>
      <c r="B1108" s="3"/>
      <c r="C1108" s="6">
        <v>46174</v>
      </c>
      <c r="D1108" s="3"/>
      <c r="E1108" s="3"/>
      <c r="F1108" s="3"/>
      <c r="G1108" s="3"/>
      <c r="H1108" s="3"/>
      <c r="I1108" s="3"/>
      <c r="J1108" s="3"/>
      <c r="K1108" s="3"/>
      <c r="L1108" s="1"/>
      <c r="M1108" s="1"/>
      <c r="N1108" s="1"/>
      <c r="O1108" s="1"/>
      <c r="P1108" s="7">
        <v>0.93</v>
      </c>
      <c r="Q1108" s="54"/>
      <c r="R1108" s="52"/>
      <c r="S1108" s="1"/>
      <c r="T1108" s="1"/>
      <c r="U1108" s="1"/>
    </row>
    <row r="1109" spans="1:21" ht="42" x14ac:dyDescent="0.3">
      <c r="A1109" s="1"/>
      <c r="B1109" s="55" t="s">
        <v>3</v>
      </c>
      <c r="C1109" s="55" t="s">
        <v>4</v>
      </c>
      <c r="D1109" s="8" t="s">
        <v>5</v>
      </c>
      <c r="E1109" s="8" t="s">
        <v>6</v>
      </c>
      <c r="F1109" s="9" t="s">
        <v>7</v>
      </c>
      <c r="G1109" s="9" t="s">
        <v>8</v>
      </c>
      <c r="H1109" s="9" t="s">
        <v>9</v>
      </c>
      <c r="I1109" s="10" t="s">
        <v>10</v>
      </c>
      <c r="J1109" s="10" t="s">
        <v>11</v>
      </c>
      <c r="K1109" s="11" t="s">
        <v>12</v>
      </c>
      <c r="L1109" s="10" t="s">
        <v>13</v>
      </c>
      <c r="M1109" s="11" t="s">
        <v>14</v>
      </c>
      <c r="N1109" s="12" t="s">
        <v>15</v>
      </c>
      <c r="O1109" s="57" t="s">
        <v>16</v>
      </c>
      <c r="P1109" s="57" t="s">
        <v>17</v>
      </c>
      <c r="Q1109" s="54"/>
      <c r="R1109" s="52"/>
      <c r="S1109" s="1"/>
      <c r="T1109" s="1"/>
      <c r="U1109" s="1"/>
    </row>
    <row r="1110" spans="1:21" x14ac:dyDescent="0.3">
      <c r="A1110" s="1"/>
      <c r="B1110" s="56"/>
      <c r="C1110" s="56"/>
      <c r="D1110" s="13" t="s">
        <v>18</v>
      </c>
      <c r="E1110" s="13" t="s">
        <v>18</v>
      </c>
      <c r="F1110" s="13" t="s">
        <v>18</v>
      </c>
      <c r="G1110" s="13" t="s">
        <v>18</v>
      </c>
      <c r="H1110" s="13" t="s">
        <v>18</v>
      </c>
      <c r="I1110" s="13" t="s">
        <v>18</v>
      </c>
      <c r="J1110" s="13" t="s">
        <v>18</v>
      </c>
      <c r="K1110" s="13" t="s">
        <v>18</v>
      </c>
      <c r="L1110" s="13" t="s">
        <v>18</v>
      </c>
      <c r="M1110" s="13" t="s">
        <v>18</v>
      </c>
      <c r="N1110" s="14" t="s">
        <v>29</v>
      </c>
      <c r="O1110" s="58"/>
      <c r="P1110" s="58"/>
      <c r="Q1110" s="54"/>
      <c r="R1110" s="52"/>
      <c r="S1110" s="1"/>
      <c r="T1110" s="1"/>
      <c r="U1110" s="1"/>
    </row>
    <row r="1111" spans="1:21" x14ac:dyDescent="0.3">
      <c r="A1111" s="1"/>
      <c r="B1111" s="59" t="s">
        <v>20</v>
      </c>
      <c r="C1111" s="60"/>
      <c r="D1111" s="16">
        <v>0.1</v>
      </c>
      <c r="E1111" s="16">
        <v>0.05</v>
      </c>
      <c r="F1111" s="16">
        <v>0.1</v>
      </c>
      <c r="G1111" s="16">
        <v>0.1</v>
      </c>
      <c r="H1111" s="16">
        <v>0.05</v>
      </c>
      <c r="I1111" s="17">
        <v>0.1</v>
      </c>
      <c r="J1111" s="17">
        <v>0.35</v>
      </c>
      <c r="K1111" s="17">
        <v>0.08</v>
      </c>
      <c r="L1111" s="17">
        <v>0.02</v>
      </c>
      <c r="M1111" s="17">
        <v>0.05</v>
      </c>
      <c r="N1111" s="19">
        <v>1</v>
      </c>
      <c r="O1111" s="20"/>
      <c r="P1111" s="22"/>
      <c r="Q1111" s="54"/>
      <c r="R1111" s="52"/>
      <c r="S1111" s="1"/>
      <c r="T1111" s="1"/>
      <c r="U1111" s="1"/>
    </row>
    <row r="1112" spans="1:21" ht="18" x14ac:dyDescent="0.3">
      <c r="A1112" s="1"/>
      <c r="B1112" s="23">
        <v>1</v>
      </c>
      <c r="C1112" s="24" t="s">
        <v>550</v>
      </c>
      <c r="D1112" s="25">
        <v>1</v>
      </c>
      <c r="E1112" s="25">
        <v>1</v>
      </c>
      <c r="F1112" s="25">
        <v>1</v>
      </c>
      <c r="G1112" s="25">
        <v>0.80889999999999995</v>
      </c>
      <c r="H1112" s="25">
        <v>0</v>
      </c>
      <c r="I1112" s="25">
        <v>0.99170000000000003</v>
      </c>
      <c r="J1112" s="25">
        <v>1</v>
      </c>
      <c r="K1112" s="25">
        <v>0.5</v>
      </c>
      <c r="L1112" s="26">
        <v>1</v>
      </c>
      <c r="M1112" s="26">
        <v>1</v>
      </c>
      <c r="N1112" s="27">
        <v>0.8901</v>
      </c>
      <c r="O1112" s="28">
        <v>0</v>
      </c>
      <c r="P1112" s="27">
        <v>0.8901</v>
      </c>
      <c r="Q1112" s="54"/>
      <c r="R1112" s="52"/>
      <c r="S1112" s="1"/>
      <c r="T1112" s="1"/>
      <c r="U1112" s="1"/>
    </row>
    <row r="1113" spans="1:21" ht="18" x14ac:dyDescent="0.3">
      <c r="A1113" s="1"/>
      <c r="B1113" s="23">
        <v>2</v>
      </c>
      <c r="C1113" s="24" t="s">
        <v>551</v>
      </c>
      <c r="D1113" s="25">
        <v>1</v>
      </c>
      <c r="E1113" s="25">
        <v>1</v>
      </c>
      <c r="F1113" s="25">
        <v>1</v>
      </c>
      <c r="G1113" s="25">
        <v>1</v>
      </c>
      <c r="H1113" s="25">
        <v>1</v>
      </c>
      <c r="I1113" s="25">
        <v>0.99180000000000001</v>
      </c>
      <c r="J1113" s="25">
        <v>1</v>
      </c>
      <c r="K1113" s="25">
        <v>1</v>
      </c>
      <c r="L1113" s="26">
        <v>0</v>
      </c>
      <c r="M1113" s="26">
        <v>1</v>
      </c>
      <c r="N1113" s="27">
        <v>0.97919999999999996</v>
      </c>
      <c r="O1113" s="28">
        <v>0</v>
      </c>
      <c r="P1113" s="27">
        <v>0.97919999999999996</v>
      </c>
      <c r="Q1113" s="54"/>
      <c r="R1113" s="52"/>
      <c r="S1113" s="1"/>
      <c r="T1113" s="1"/>
      <c r="U1113" s="1"/>
    </row>
    <row r="1114" spans="1:21" ht="18" x14ac:dyDescent="0.3">
      <c r="A1114" s="1"/>
      <c r="B1114" s="23">
        <v>3</v>
      </c>
      <c r="C1114" s="24" t="s">
        <v>552</v>
      </c>
      <c r="D1114" s="25">
        <v>1</v>
      </c>
      <c r="E1114" s="25">
        <v>1</v>
      </c>
      <c r="F1114" s="25">
        <v>1</v>
      </c>
      <c r="G1114" s="25">
        <v>1</v>
      </c>
      <c r="H1114" s="25">
        <v>1</v>
      </c>
      <c r="I1114" s="25">
        <v>1</v>
      </c>
      <c r="J1114" s="25">
        <v>1</v>
      </c>
      <c r="K1114" s="25">
        <v>1</v>
      </c>
      <c r="L1114" s="26">
        <v>0</v>
      </c>
      <c r="M1114" s="26">
        <v>0.75</v>
      </c>
      <c r="N1114" s="27">
        <v>0.96750000000000003</v>
      </c>
      <c r="O1114" s="28">
        <v>0</v>
      </c>
      <c r="P1114" s="27">
        <v>0.96750000000000003</v>
      </c>
      <c r="Q1114" s="54"/>
      <c r="R1114" s="52"/>
      <c r="S1114" s="1"/>
      <c r="T1114" s="1"/>
      <c r="U1114" s="1"/>
    </row>
    <row r="1115" spans="1:21" ht="18" x14ac:dyDescent="0.3">
      <c r="A1115" s="1"/>
      <c r="B1115" s="23">
        <v>4</v>
      </c>
      <c r="C1115" s="24" t="s">
        <v>553</v>
      </c>
      <c r="D1115" s="25">
        <v>0.98</v>
      </c>
      <c r="E1115" s="25">
        <v>1</v>
      </c>
      <c r="F1115" s="25">
        <v>1</v>
      </c>
      <c r="G1115" s="25">
        <v>1</v>
      </c>
      <c r="H1115" s="25">
        <v>1</v>
      </c>
      <c r="I1115" s="25">
        <v>0.99790000000000001</v>
      </c>
      <c r="J1115" s="25">
        <v>1</v>
      </c>
      <c r="K1115" s="25">
        <v>0.5</v>
      </c>
      <c r="L1115" s="26">
        <v>0</v>
      </c>
      <c r="M1115" s="26">
        <v>1</v>
      </c>
      <c r="N1115" s="27">
        <v>0.93779999999999997</v>
      </c>
      <c r="O1115" s="28">
        <v>0</v>
      </c>
      <c r="P1115" s="27">
        <v>0.93779999999999997</v>
      </c>
      <c r="Q1115" s="54"/>
      <c r="R1115" s="52"/>
      <c r="S1115" s="1"/>
      <c r="T1115" s="1"/>
      <c r="U1115" s="1"/>
    </row>
    <row r="1116" spans="1:21" ht="18" x14ac:dyDescent="0.3">
      <c r="A1116" s="1"/>
      <c r="B1116" s="23">
        <v>5</v>
      </c>
      <c r="C1116" s="24" t="s">
        <v>554</v>
      </c>
      <c r="D1116" s="25">
        <v>1</v>
      </c>
      <c r="E1116" s="25">
        <v>1</v>
      </c>
      <c r="F1116" s="25">
        <v>1</v>
      </c>
      <c r="G1116" s="25">
        <v>0.96879999999999999</v>
      </c>
      <c r="H1116" s="25">
        <v>1</v>
      </c>
      <c r="I1116" s="25">
        <v>1</v>
      </c>
      <c r="J1116" s="25">
        <v>0.8</v>
      </c>
      <c r="K1116" s="25">
        <v>0.5</v>
      </c>
      <c r="L1116" s="26">
        <v>0</v>
      </c>
      <c r="M1116" s="26">
        <v>0.75</v>
      </c>
      <c r="N1116" s="27">
        <v>0.85440000000000005</v>
      </c>
      <c r="O1116" s="28">
        <v>0</v>
      </c>
      <c r="P1116" s="27">
        <v>0.85440000000000005</v>
      </c>
      <c r="Q1116" s="54"/>
      <c r="R1116" s="52"/>
      <c r="S1116" s="1"/>
      <c r="T1116" s="1"/>
      <c r="U1116" s="1"/>
    </row>
    <row r="1117" spans="1:21" ht="18" x14ac:dyDescent="0.3">
      <c r="A1117" s="1"/>
      <c r="B1117" s="23">
        <v>6</v>
      </c>
      <c r="C1117" s="24" t="s">
        <v>555</v>
      </c>
      <c r="D1117" s="25">
        <v>1</v>
      </c>
      <c r="E1117" s="25">
        <v>1</v>
      </c>
      <c r="F1117" s="25">
        <v>1</v>
      </c>
      <c r="G1117" s="25">
        <v>1</v>
      </c>
      <c r="H1117" s="25">
        <v>1</v>
      </c>
      <c r="I1117" s="25">
        <v>1</v>
      </c>
      <c r="J1117" s="25">
        <v>1</v>
      </c>
      <c r="K1117" s="25">
        <v>1</v>
      </c>
      <c r="L1117" s="26">
        <v>0</v>
      </c>
      <c r="M1117" s="26">
        <v>1</v>
      </c>
      <c r="N1117" s="27">
        <v>0.98</v>
      </c>
      <c r="O1117" s="28">
        <v>0</v>
      </c>
      <c r="P1117" s="27">
        <v>0.98</v>
      </c>
      <c r="Q1117" s="54"/>
      <c r="R1117" s="52"/>
      <c r="S1117" s="1"/>
      <c r="T1117" s="1"/>
      <c r="U1117" s="1"/>
    </row>
    <row r="1118" spans="1:21" x14ac:dyDescent="0.3">
      <c r="A1118" s="1"/>
      <c r="B1118" s="59" t="s">
        <v>27</v>
      </c>
      <c r="C1118" s="60"/>
      <c r="D1118" s="31">
        <v>1</v>
      </c>
      <c r="E1118" s="31">
        <v>1</v>
      </c>
      <c r="F1118" s="31">
        <v>1</v>
      </c>
      <c r="G1118" s="31">
        <v>0.96</v>
      </c>
      <c r="H1118" s="31">
        <v>0.83</v>
      </c>
      <c r="I1118" s="31">
        <v>1</v>
      </c>
      <c r="J1118" s="31">
        <v>0.97</v>
      </c>
      <c r="K1118" s="31">
        <v>0.75</v>
      </c>
      <c r="L1118" s="31">
        <v>0.17</v>
      </c>
      <c r="M1118" s="31">
        <v>0.92</v>
      </c>
      <c r="N1118" s="31">
        <v>0.94</v>
      </c>
      <c r="O1118" s="31">
        <v>0</v>
      </c>
      <c r="P1118" s="31">
        <v>0.93</v>
      </c>
      <c r="Q1118" s="54"/>
      <c r="R1118" s="52"/>
      <c r="S1118" s="1"/>
      <c r="T1118" s="1"/>
      <c r="U1118" s="1"/>
    </row>
    <row r="1119" spans="1:21" x14ac:dyDescent="0.3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52"/>
      <c r="R1119" s="52"/>
      <c r="S1119" s="1"/>
      <c r="T1119" s="1"/>
      <c r="U1119" s="1"/>
    </row>
    <row r="1120" spans="1:21" x14ac:dyDescent="0.3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52"/>
      <c r="R1120" s="52"/>
      <c r="S1120" s="1"/>
      <c r="T1120" s="1"/>
      <c r="U1120" s="1"/>
    </row>
    <row r="1121" spans="1:21" ht="15.6" x14ac:dyDescent="0.3">
      <c r="A1121" s="1"/>
      <c r="B1121" s="3"/>
      <c r="C1121" s="4" t="s">
        <v>556</v>
      </c>
      <c r="D1121" s="3"/>
      <c r="E1121" s="3"/>
      <c r="F1121" s="3"/>
      <c r="G1121" s="3"/>
      <c r="H1121" s="3"/>
      <c r="I1121" s="3"/>
      <c r="J1121" s="3"/>
      <c r="K1121" s="3"/>
      <c r="L1121" s="1"/>
      <c r="M1121" s="1"/>
      <c r="N1121" s="1"/>
      <c r="O1121" s="1"/>
      <c r="P1121" s="5" t="s">
        <v>2</v>
      </c>
      <c r="Q1121" s="54"/>
      <c r="R1121" s="52"/>
      <c r="S1121" s="1"/>
      <c r="T1121" s="1"/>
      <c r="U1121" s="1"/>
    </row>
    <row r="1122" spans="1:21" ht="15.6" x14ac:dyDescent="0.3">
      <c r="A1122" s="1"/>
      <c r="B1122" s="3"/>
      <c r="C1122" s="6">
        <v>46174</v>
      </c>
      <c r="D1122" s="3"/>
      <c r="E1122" s="3"/>
      <c r="F1122" s="3"/>
      <c r="G1122" s="3"/>
      <c r="H1122" s="3"/>
      <c r="I1122" s="3"/>
      <c r="J1122" s="3"/>
      <c r="K1122" s="3"/>
      <c r="L1122" s="1"/>
      <c r="M1122" s="1"/>
      <c r="N1122" s="1"/>
      <c r="O1122" s="1"/>
      <c r="P1122" s="7">
        <v>0.89</v>
      </c>
      <c r="Q1122" s="54"/>
      <c r="R1122" s="52"/>
      <c r="S1122" s="1"/>
      <c r="T1122" s="1"/>
      <c r="U1122" s="1"/>
    </row>
    <row r="1123" spans="1:21" ht="42" x14ac:dyDescent="0.3">
      <c r="A1123" s="1"/>
      <c r="B1123" s="55" t="s">
        <v>3</v>
      </c>
      <c r="C1123" s="55" t="s">
        <v>4</v>
      </c>
      <c r="D1123" s="8" t="s">
        <v>5</v>
      </c>
      <c r="E1123" s="8" t="s">
        <v>6</v>
      </c>
      <c r="F1123" s="9" t="s">
        <v>7</v>
      </c>
      <c r="G1123" s="9" t="s">
        <v>8</v>
      </c>
      <c r="H1123" s="9" t="s">
        <v>9</v>
      </c>
      <c r="I1123" s="10" t="s">
        <v>10</v>
      </c>
      <c r="J1123" s="10" t="s">
        <v>11</v>
      </c>
      <c r="K1123" s="11" t="s">
        <v>12</v>
      </c>
      <c r="L1123" s="10" t="s">
        <v>13</v>
      </c>
      <c r="M1123" s="11" t="s">
        <v>14</v>
      </c>
      <c r="N1123" s="12" t="s">
        <v>15</v>
      </c>
      <c r="O1123" s="57" t="s">
        <v>16</v>
      </c>
      <c r="P1123" s="57" t="s">
        <v>17</v>
      </c>
      <c r="Q1123" s="54"/>
      <c r="R1123" s="52"/>
      <c r="S1123" s="1"/>
      <c r="T1123" s="1"/>
      <c r="U1123" s="1"/>
    </row>
    <row r="1124" spans="1:21" x14ac:dyDescent="0.3">
      <c r="A1124" s="1"/>
      <c r="B1124" s="56"/>
      <c r="C1124" s="56"/>
      <c r="D1124" s="13" t="s">
        <v>18</v>
      </c>
      <c r="E1124" s="13" t="s">
        <v>18</v>
      </c>
      <c r="F1124" s="13" t="s">
        <v>18</v>
      </c>
      <c r="G1124" s="13" t="s">
        <v>18</v>
      </c>
      <c r="H1124" s="13" t="s">
        <v>18</v>
      </c>
      <c r="I1124" s="13" t="s">
        <v>18</v>
      </c>
      <c r="J1124" s="13" t="s">
        <v>18</v>
      </c>
      <c r="K1124" s="13" t="s">
        <v>18</v>
      </c>
      <c r="L1124" s="13" t="s">
        <v>18</v>
      </c>
      <c r="M1124" s="13" t="s">
        <v>18</v>
      </c>
      <c r="N1124" s="14" t="s">
        <v>29</v>
      </c>
      <c r="O1124" s="58"/>
      <c r="P1124" s="58"/>
      <c r="Q1124" s="54"/>
      <c r="R1124" s="52"/>
      <c r="S1124" s="1"/>
      <c r="T1124" s="1"/>
      <c r="U1124" s="1"/>
    </row>
    <row r="1125" spans="1:21" x14ac:dyDescent="0.3">
      <c r="A1125" s="1"/>
      <c r="B1125" s="59" t="s">
        <v>20</v>
      </c>
      <c r="C1125" s="60"/>
      <c r="D1125" s="16">
        <v>0.1</v>
      </c>
      <c r="E1125" s="16">
        <v>0.05</v>
      </c>
      <c r="F1125" s="16">
        <v>0.1</v>
      </c>
      <c r="G1125" s="16">
        <v>0.1</v>
      </c>
      <c r="H1125" s="16">
        <v>0.05</v>
      </c>
      <c r="I1125" s="17">
        <v>0.1</v>
      </c>
      <c r="J1125" s="17">
        <v>0.35</v>
      </c>
      <c r="K1125" s="17">
        <v>0.08</v>
      </c>
      <c r="L1125" s="17">
        <v>0.02</v>
      </c>
      <c r="M1125" s="17">
        <v>0.05</v>
      </c>
      <c r="N1125" s="19">
        <v>1</v>
      </c>
      <c r="O1125" s="20"/>
      <c r="P1125" s="22"/>
      <c r="Q1125" s="54"/>
      <c r="R1125" s="52"/>
      <c r="S1125" s="1"/>
      <c r="T1125" s="1"/>
      <c r="U1125" s="1"/>
    </row>
    <row r="1126" spans="1:21" ht="18" x14ac:dyDescent="0.3">
      <c r="A1126" s="1"/>
      <c r="B1126" s="23">
        <v>1</v>
      </c>
      <c r="C1126" s="24" t="s">
        <v>557</v>
      </c>
      <c r="D1126" s="25">
        <v>1</v>
      </c>
      <c r="E1126" s="25">
        <v>1</v>
      </c>
      <c r="F1126" s="25">
        <v>1</v>
      </c>
      <c r="G1126" s="25">
        <v>1</v>
      </c>
      <c r="H1126" s="25">
        <v>1</v>
      </c>
      <c r="I1126" s="25">
        <v>0.98499999999999999</v>
      </c>
      <c r="J1126" s="25">
        <v>1</v>
      </c>
      <c r="K1126" s="25">
        <v>0.5</v>
      </c>
      <c r="L1126" s="26">
        <v>0</v>
      </c>
      <c r="M1126" s="26">
        <v>1</v>
      </c>
      <c r="N1126" s="27">
        <v>0.9385</v>
      </c>
      <c r="O1126" s="28">
        <v>0</v>
      </c>
      <c r="P1126" s="27">
        <v>0.9385</v>
      </c>
      <c r="Q1126" s="54"/>
      <c r="R1126" s="52"/>
      <c r="S1126" s="1"/>
      <c r="T1126" s="1"/>
      <c r="U1126" s="1"/>
    </row>
    <row r="1127" spans="1:21" ht="18" x14ac:dyDescent="0.3">
      <c r="A1127" s="1"/>
      <c r="B1127" s="23">
        <v>2</v>
      </c>
      <c r="C1127" s="24" t="s">
        <v>558</v>
      </c>
      <c r="D1127" s="25">
        <v>1</v>
      </c>
      <c r="E1127" s="25">
        <v>1</v>
      </c>
      <c r="F1127" s="25">
        <v>1</v>
      </c>
      <c r="G1127" s="25">
        <v>0.98040000000000005</v>
      </c>
      <c r="H1127" s="25">
        <v>0</v>
      </c>
      <c r="I1127" s="25">
        <v>1</v>
      </c>
      <c r="J1127" s="25">
        <v>0.8</v>
      </c>
      <c r="K1127" s="25">
        <v>1</v>
      </c>
      <c r="L1127" s="26">
        <v>0</v>
      </c>
      <c r="M1127" s="26">
        <v>0.75</v>
      </c>
      <c r="N1127" s="27">
        <v>0.84550000000000003</v>
      </c>
      <c r="O1127" s="28">
        <v>0</v>
      </c>
      <c r="P1127" s="27">
        <v>0.84550000000000003</v>
      </c>
      <c r="Q1127" s="54"/>
      <c r="R1127" s="52"/>
      <c r="S1127" s="1"/>
      <c r="T1127" s="1"/>
      <c r="U1127" s="1"/>
    </row>
    <row r="1128" spans="1:21" ht="18" x14ac:dyDescent="0.3">
      <c r="A1128" s="1"/>
      <c r="B1128" s="23">
        <v>3</v>
      </c>
      <c r="C1128" s="24" t="s">
        <v>559</v>
      </c>
      <c r="D1128" s="25">
        <v>0.98</v>
      </c>
      <c r="E1128" s="25">
        <v>1</v>
      </c>
      <c r="F1128" s="25">
        <v>1</v>
      </c>
      <c r="G1128" s="25">
        <v>1</v>
      </c>
      <c r="H1128" s="25">
        <v>1</v>
      </c>
      <c r="I1128" s="25">
        <v>0.99060000000000004</v>
      </c>
      <c r="J1128" s="25">
        <v>0.8</v>
      </c>
      <c r="K1128" s="25">
        <v>0.5</v>
      </c>
      <c r="L1128" s="26">
        <v>0</v>
      </c>
      <c r="M1128" s="26">
        <v>1</v>
      </c>
      <c r="N1128" s="27">
        <v>0.86709999999999998</v>
      </c>
      <c r="O1128" s="28">
        <v>0</v>
      </c>
      <c r="P1128" s="27">
        <v>0.86709999999999998</v>
      </c>
      <c r="Q1128" s="54"/>
      <c r="R1128" s="52"/>
      <c r="S1128" s="1"/>
      <c r="T1128" s="1"/>
      <c r="U1128" s="1"/>
    </row>
    <row r="1129" spans="1:21" ht="18" x14ac:dyDescent="0.3">
      <c r="A1129" s="1"/>
      <c r="B1129" s="23">
        <v>4</v>
      </c>
      <c r="C1129" s="24" t="s">
        <v>560</v>
      </c>
      <c r="D1129" s="25">
        <v>1</v>
      </c>
      <c r="E1129" s="25">
        <v>1</v>
      </c>
      <c r="F1129" s="25">
        <v>1</v>
      </c>
      <c r="G1129" s="25">
        <v>1</v>
      </c>
      <c r="H1129" s="25">
        <v>1</v>
      </c>
      <c r="I1129" s="25">
        <v>1</v>
      </c>
      <c r="J1129" s="25">
        <v>0.8</v>
      </c>
      <c r="K1129" s="25">
        <v>1</v>
      </c>
      <c r="L1129" s="26">
        <v>0</v>
      </c>
      <c r="M1129" s="26">
        <v>1</v>
      </c>
      <c r="N1129" s="27">
        <v>0.91</v>
      </c>
      <c r="O1129" s="28">
        <v>0</v>
      </c>
      <c r="P1129" s="27">
        <v>0.91</v>
      </c>
      <c r="Q1129" s="54"/>
      <c r="R1129" s="52"/>
      <c r="S1129" s="1"/>
      <c r="T1129" s="1"/>
      <c r="U1129" s="1"/>
    </row>
    <row r="1130" spans="1:21" ht="18" x14ac:dyDescent="0.3">
      <c r="A1130" s="1"/>
      <c r="B1130" s="23">
        <v>5</v>
      </c>
      <c r="C1130" s="24" t="s">
        <v>561</v>
      </c>
      <c r="D1130" s="25">
        <v>0.98</v>
      </c>
      <c r="E1130" s="25">
        <v>0.99</v>
      </c>
      <c r="F1130" s="25">
        <v>0.99150000000000005</v>
      </c>
      <c r="G1130" s="25">
        <v>0.99060000000000004</v>
      </c>
      <c r="H1130" s="25">
        <v>1</v>
      </c>
      <c r="I1130" s="25">
        <v>0.99629999999999996</v>
      </c>
      <c r="J1130" s="25">
        <v>0.8</v>
      </c>
      <c r="K1130" s="25">
        <v>1</v>
      </c>
      <c r="L1130" s="26">
        <v>0</v>
      </c>
      <c r="M1130" s="26">
        <v>1</v>
      </c>
      <c r="N1130" s="27">
        <v>0.90529999999999999</v>
      </c>
      <c r="O1130" s="28">
        <v>0</v>
      </c>
      <c r="P1130" s="27">
        <v>0.90529999999999999</v>
      </c>
      <c r="Q1130" s="54"/>
      <c r="R1130" s="52"/>
      <c r="S1130" s="1"/>
      <c r="T1130" s="1"/>
      <c r="U1130" s="1"/>
    </row>
    <row r="1131" spans="1:21" x14ac:dyDescent="0.3">
      <c r="A1131" s="1"/>
      <c r="B1131" s="59" t="s">
        <v>27</v>
      </c>
      <c r="C1131" s="60"/>
      <c r="D1131" s="31">
        <v>0.99</v>
      </c>
      <c r="E1131" s="31">
        <v>1</v>
      </c>
      <c r="F1131" s="31">
        <v>1</v>
      </c>
      <c r="G1131" s="31">
        <v>0.99</v>
      </c>
      <c r="H1131" s="31">
        <v>0.8</v>
      </c>
      <c r="I1131" s="31">
        <v>0.99</v>
      </c>
      <c r="J1131" s="31">
        <v>0.84</v>
      </c>
      <c r="K1131" s="31">
        <v>0.8</v>
      </c>
      <c r="L1131" s="31">
        <v>0</v>
      </c>
      <c r="M1131" s="31">
        <v>0.95</v>
      </c>
      <c r="N1131" s="31">
        <v>0.88</v>
      </c>
      <c r="O1131" s="31">
        <v>0</v>
      </c>
      <c r="P1131" s="31">
        <v>0.89</v>
      </c>
      <c r="Q1131" s="54"/>
      <c r="R1131" s="52"/>
      <c r="S1131" s="1"/>
      <c r="T1131" s="1"/>
      <c r="U1131" s="1"/>
    </row>
    <row r="1132" spans="1:21" x14ac:dyDescent="0.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52"/>
      <c r="R1132" s="52"/>
      <c r="S1132" s="1"/>
      <c r="T1132" s="1"/>
      <c r="U1132" s="1"/>
    </row>
    <row r="1133" spans="1:21" x14ac:dyDescent="0.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52"/>
      <c r="R1133" s="52"/>
      <c r="S1133" s="1"/>
      <c r="T1133" s="1"/>
      <c r="U1133" s="1"/>
    </row>
    <row r="1134" spans="1:21" ht="15.6" x14ac:dyDescent="0.3">
      <c r="A1134" s="1"/>
      <c r="B1134" s="3"/>
      <c r="C1134" s="4" t="s">
        <v>562</v>
      </c>
      <c r="D1134" s="3"/>
      <c r="E1134" s="3"/>
      <c r="F1134" s="3"/>
      <c r="G1134" s="3"/>
      <c r="H1134" s="3"/>
      <c r="I1134" s="3"/>
      <c r="J1134" s="3"/>
      <c r="K1134" s="3"/>
      <c r="L1134" s="1"/>
      <c r="M1134" s="1"/>
      <c r="N1134" s="1"/>
      <c r="O1134" s="1"/>
      <c r="P1134" s="5" t="s">
        <v>2</v>
      </c>
      <c r="Q1134" s="54"/>
      <c r="R1134" s="52"/>
      <c r="S1134" s="1"/>
      <c r="T1134" s="1"/>
      <c r="U1134" s="1"/>
    </row>
    <row r="1135" spans="1:21" ht="15.6" x14ac:dyDescent="0.3">
      <c r="A1135" s="1"/>
      <c r="B1135" s="3"/>
      <c r="C1135" s="6">
        <v>46174</v>
      </c>
      <c r="D1135" s="3"/>
      <c r="E1135" s="3"/>
      <c r="F1135" s="3"/>
      <c r="G1135" s="3"/>
      <c r="H1135" s="3"/>
      <c r="I1135" s="3"/>
      <c r="J1135" s="3"/>
      <c r="K1135" s="3"/>
      <c r="L1135" s="1"/>
      <c r="M1135" s="1"/>
      <c r="N1135" s="1"/>
      <c r="O1135" s="1"/>
      <c r="P1135" s="7">
        <v>0.91</v>
      </c>
      <c r="Q1135" s="54"/>
      <c r="R1135" s="52"/>
      <c r="S1135" s="1"/>
      <c r="T1135" s="1"/>
      <c r="U1135" s="1"/>
    </row>
    <row r="1136" spans="1:21" ht="42" x14ac:dyDescent="0.3">
      <c r="A1136" s="1"/>
      <c r="B1136" s="55" t="s">
        <v>3</v>
      </c>
      <c r="C1136" s="55" t="s">
        <v>4</v>
      </c>
      <c r="D1136" s="8" t="s">
        <v>5</v>
      </c>
      <c r="E1136" s="8" t="s">
        <v>6</v>
      </c>
      <c r="F1136" s="9" t="s">
        <v>7</v>
      </c>
      <c r="G1136" s="9" t="s">
        <v>8</v>
      </c>
      <c r="H1136" s="9" t="s">
        <v>9</v>
      </c>
      <c r="I1136" s="10" t="s">
        <v>10</v>
      </c>
      <c r="J1136" s="10" t="s">
        <v>11</v>
      </c>
      <c r="K1136" s="11" t="s">
        <v>12</v>
      </c>
      <c r="L1136" s="10" t="s">
        <v>13</v>
      </c>
      <c r="M1136" s="11" t="s">
        <v>14</v>
      </c>
      <c r="N1136" s="12" t="s">
        <v>15</v>
      </c>
      <c r="O1136" s="57" t="s">
        <v>16</v>
      </c>
      <c r="P1136" s="57" t="s">
        <v>17</v>
      </c>
      <c r="Q1136" s="54"/>
      <c r="R1136" s="52"/>
      <c r="S1136" s="1"/>
      <c r="T1136" s="1"/>
      <c r="U1136" s="1"/>
    </row>
    <row r="1137" spans="1:21" x14ac:dyDescent="0.3">
      <c r="A1137" s="1"/>
      <c r="B1137" s="56"/>
      <c r="C1137" s="56"/>
      <c r="D1137" s="13" t="s">
        <v>18</v>
      </c>
      <c r="E1137" s="13" t="s">
        <v>18</v>
      </c>
      <c r="F1137" s="13" t="s">
        <v>18</v>
      </c>
      <c r="G1137" s="13" t="s">
        <v>18</v>
      </c>
      <c r="H1137" s="13" t="s">
        <v>18</v>
      </c>
      <c r="I1137" s="13" t="s">
        <v>18</v>
      </c>
      <c r="J1137" s="13" t="s">
        <v>18</v>
      </c>
      <c r="K1137" s="13" t="s">
        <v>18</v>
      </c>
      <c r="L1137" s="13" t="s">
        <v>18</v>
      </c>
      <c r="M1137" s="13" t="s">
        <v>18</v>
      </c>
      <c r="N1137" s="14" t="s">
        <v>29</v>
      </c>
      <c r="O1137" s="58"/>
      <c r="P1137" s="58"/>
      <c r="Q1137" s="54"/>
      <c r="R1137" s="52"/>
      <c r="S1137" s="1"/>
      <c r="T1137" s="1"/>
      <c r="U1137" s="1"/>
    </row>
    <row r="1138" spans="1:21" x14ac:dyDescent="0.3">
      <c r="A1138" s="1"/>
      <c r="B1138" s="59" t="s">
        <v>20</v>
      </c>
      <c r="C1138" s="60"/>
      <c r="D1138" s="16">
        <v>0.1</v>
      </c>
      <c r="E1138" s="16">
        <v>0.05</v>
      </c>
      <c r="F1138" s="16">
        <v>0.1</v>
      </c>
      <c r="G1138" s="16">
        <v>0.1</v>
      </c>
      <c r="H1138" s="16">
        <v>0.05</v>
      </c>
      <c r="I1138" s="17">
        <v>0.1</v>
      </c>
      <c r="J1138" s="17">
        <v>0.35</v>
      </c>
      <c r="K1138" s="17">
        <v>0.08</v>
      </c>
      <c r="L1138" s="17">
        <v>0.02</v>
      </c>
      <c r="M1138" s="17">
        <v>0.05</v>
      </c>
      <c r="N1138" s="19">
        <v>1</v>
      </c>
      <c r="O1138" s="20"/>
      <c r="P1138" s="22"/>
      <c r="Q1138" s="54"/>
      <c r="R1138" s="52"/>
      <c r="S1138" s="1"/>
      <c r="T1138" s="1"/>
      <c r="U1138" s="1"/>
    </row>
    <row r="1139" spans="1:21" x14ac:dyDescent="0.3">
      <c r="A1139" s="1"/>
      <c r="B1139" s="23">
        <v>1</v>
      </c>
      <c r="C1139" s="37" t="s">
        <v>563</v>
      </c>
      <c r="D1139" s="25">
        <v>0.98</v>
      </c>
      <c r="E1139" s="25">
        <v>1</v>
      </c>
      <c r="F1139" s="25">
        <v>1</v>
      </c>
      <c r="G1139" s="25">
        <v>1</v>
      </c>
      <c r="H1139" s="25">
        <v>1</v>
      </c>
      <c r="I1139" s="25">
        <v>1</v>
      </c>
      <c r="J1139" s="25">
        <v>1</v>
      </c>
      <c r="K1139" s="25">
        <v>1</v>
      </c>
      <c r="L1139" s="26">
        <v>0</v>
      </c>
      <c r="M1139" s="26">
        <v>1</v>
      </c>
      <c r="N1139" s="27">
        <v>0.97799999999999998</v>
      </c>
      <c r="O1139" s="28">
        <v>0</v>
      </c>
      <c r="P1139" s="27">
        <v>0.97799999999999998</v>
      </c>
      <c r="Q1139" s="54"/>
      <c r="R1139" s="52"/>
      <c r="S1139" s="1"/>
      <c r="T1139" s="1"/>
      <c r="U1139" s="1"/>
    </row>
    <row r="1140" spans="1:21" x14ac:dyDescent="0.3">
      <c r="A1140" s="1"/>
      <c r="B1140" s="23">
        <v>2</v>
      </c>
      <c r="C1140" s="37" t="s">
        <v>564</v>
      </c>
      <c r="D1140" s="25">
        <v>1</v>
      </c>
      <c r="E1140" s="25">
        <v>0.99</v>
      </c>
      <c r="F1140" s="25">
        <v>1</v>
      </c>
      <c r="G1140" s="25">
        <v>1</v>
      </c>
      <c r="H1140" s="25">
        <v>1</v>
      </c>
      <c r="I1140" s="25">
        <v>1</v>
      </c>
      <c r="J1140" s="25">
        <v>0.8</v>
      </c>
      <c r="K1140" s="25">
        <v>1</v>
      </c>
      <c r="L1140" s="26">
        <v>0</v>
      </c>
      <c r="M1140" s="26">
        <v>0.75</v>
      </c>
      <c r="N1140" s="27">
        <v>0.89700000000000002</v>
      </c>
      <c r="O1140" s="28">
        <v>0</v>
      </c>
      <c r="P1140" s="27">
        <v>0.89700000000000002</v>
      </c>
      <c r="Q1140" s="54"/>
      <c r="R1140" s="52"/>
      <c r="S1140" s="1"/>
      <c r="T1140" s="1"/>
      <c r="U1140" s="1"/>
    </row>
    <row r="1141" spans="1:21" x14ac:dyDescent="0.3">
      <c r="A1141" s="1"/>
      <c r="B1141" s="23">
        <v>3</v>
      </c>
      <c r="C1141" s="37" t="s">
        <v>565</v>
      </c>
      <c r="D1141" s="25">
        <v>1</v>
      </c>
      <c r="E1141" s="25">
        <v>1</v>
      </c>
      <c r="F1141" s="25">
        <v>0.99729999999999996</v>
      </c>
      <c r="G1141" s="25">
        <v>0.89290000000000003</v>
      </c>
      <c r="H1141" s="25">
        <v>1</v>
      </c>
      <c r="I1141" s="25">
        <v>0.99629999999999996</v>
      </c>
      <c r="J1141" s="25">
        <v>1</v>
      </c>
      <c r="K1141" s="25">
        <v>0.5</v>
      </c>
      <c r="L1141" s="26">
        <v>0</v>
      </c>
      <c r="M1141" s="26">
        <v>1</v>
      </c>
      <c r="N1141" s="27">
        <v>0.92859999999999998</v>
      </c>
      <c r="O1141" s="28">
        <v>0</v>
      </c>
      <c r="P1141" s="27">
        <v>0.92859999999999998</v>
      </c>
      <c r="Q1141" s="54"/>
      <c r="R1141" s="52"/>
      <c r="S1141" s="1"/>
      <c r="T1141" s="1"/>
      <c r="U1141" s="1"/>
    </row>
    <row r="1142" spans="1:21" x14ac:dyDescent="0.3">
      <c r="A1142" s="1"/>
      <c r="B1142" s="23">
        <v>4</v>
      </c>
      <c r="C1142" s="37" t="s">
        <v>566</v>
      </c>
      <c r="D1142" s="25">
        <v>1</v>
      </c>
      <c r="E1142" s="25">
        <v>0.99</v>
      </c>
      <c r="F1142" s="25">
        <v>1</v>
      </c>
      <c r="G1142" s="25">
        <v>0.98309999999999997</v>
      </c>
      <c r="H1142" s="25">
        <v>1</v>
      </c>
      <c r="I1142" s="25">
        <v>0.98660000000000003</v>
      </c>
      <c r="J1142" s="25">
        <v>0.8</v>
      </c>
      <c r="K1142" s="25">
        <v>0.5</v>
      </c>
      <c r="L1142" s="26">
        <v>1</v>
      </c>
      <c r="M1142" s="26">
        <v>1</v>
      </c>
      <c r="N1142" s="27">
        <v>0.88649999999999995</v>
      </c>
      <c r="O1142" s="28">
        <v>0.01</v>
      </c>
      <c r="P1142" s="27">
        <v>0.87649999999999995</v>
      </c>
      <c r="Q1142" s="54"/>
      <c r="R1142" s="52"/>
      <c r="S1142" s="1"/>
      <c r="T1142" s="1"/>
      <c r="U1142" s="1"/>
    </row>
    <row r="1143" spans="1:21" x14ac:dyDescent="0.3">
      <c r="A1143" s="1"/>
      <c r="B1143" s="23">
        <v>5</v>
      </c>
      <c r="C1143" s="37" t="s">
        <v>567</v>
      </c>
      <c r="D1143" s="25">
        <v>1</v>
      </c>
      <c r="E1143" s="25">
        <v>0.99</v>
      </c>
      <c r="F1143" s="25">
        <v>1</v>
      </c>
      <c r="G1143" s="25">
        <v>0.89459999999999995</v>
      </c>
      <c r="H1143" s="25">
        <v>0</v>
      </c>
      <c r="I1143" s="25">
        <v>0.99180000000000001</v>
      </c>
      <c r="J1143" s="25">
        <v>0.8</v>
      </c>
      <c r="K1143" s="25">
        <v>1</v>
      </c>
      <c r="L1143" s="26">
        <v>1</v>
      </c>
      <c r="M1143" s="26">
        <v>1</v>
      </c>
      <c r="N1143" s="27">
        <v>0.86809999999999998</v>
      </c>
      <c r="O1143" s="28">
        <v>0</v>
      </c>
      <c r="P1143" s="27">
        <v>0.86809999999999998</v>
      </c>
      <c r="Q1143" s="54"/>
      <c r="R1143" s="52"/>
      <c r="S1143" s="1"/>
      <c r="T1143" s="1"/>
      <c r="U1143" s="1"/>
    </row>
    <row r="1144" spans="1:21" x14ac:dyDescent="0.3">
      <c r="A1144" s="1"/>
      <c r="B1144" s="59" t="s">
        <v>27</v>
      </c>
      <c r="C1144" s="60"/>
      <c r="D1144" s="31">
        <v>1</v>
      </c>
      <c r="E1144" s="31">
        <v>0.99</v>
      </c>
      <c r="F1144" s="31">
        <v>1</v>
      </c>
      <c r="G1144" s="31">
        <v>0.95</v>
      </c>
      <c r="H1144" s="31">
        <v>0.8</v>
      </c>
      <c r="I1144" s="31">
        <v>0.99</v>
      </c>
      <c r="J1144" s="31">
        <v>0.88</v>
      </c>
      <c r="K1144" s="31">
        <v>0.8</v>
      </c>
      <c r="L1144" s="31">
        <v>0.4</v>
      </c>
      <c r="M1144" s="31">
        <v>0.95</v>
      </c>
      <c r="N1144" s="31">
        <v>0.9</v>
      </c>
      <c r="O1144" s="31">
        <v>0</v>
      </c>
      <c r="P1144" s="31">
        <v>0.91</v>
      </c>
      <c r="Q1144" s="54"/>
      <c r="R1144" s="52"/>
      <c r="S1144" s="1"/>
      <c r="T1144" s="1"/>
      <c r="U1144" s="1"/>
    </row>
    <row r="1145" spans="1:21" x14ac:dyDescent="0.3">
      <c r="A1145" s="1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45"/>
      <c r="Q1145" s="54"/>
      <c r="R1145" s="52"/>
      <c r="S1145" s="1"/>
      <c r="T1145" s="1"/>
      <c r="U1145" s="1"/>
    </row>
    <row r="1146" spans="1:21" x14ac:dyDescent="0.3">
      <c r="A1146" s="1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32"/>
      <c r="N1146" s="32"/>
      <c r="O1146" s="32"/>
      <c r="P1146" s="45"/>
      <c r="Q1146" s="54"/>
      <c r="R1146" s="52"/>
      <c r="S1146" s="1"/>
      <c r="T1146" s="1"/>
      <c r="U1146" s="1"/>
    </row>
    <row r="1147" spans="1:21" ht="15.6" x14ac:dyDescent="0.3">
      <c r="A1147" s="1"/>
      <c r="B1147" s="3"/>
      <c r="C1147" s="4" t="s">
        <v>568</v>
      </c>
      <c r="D1147" s="3"/>
      <c r="E1147" s="3"/>
      <c r="F1147" s="3"/>
      <c r="G1147" s="3"/>
      <c r="H1147" s="3"/>
      <c r="I1147" s="3"/>
      <c r="J1147" s="3"/>
      <c r="K1147" s="3"/>
      <c r="L1147" s="1"/>
      <c r="M1147" s="1"/>
      <c r="N1147" s="1"/>
      <c r="O1147" s="1"/>
      <c r="P1147" s="5" t="s">
        <v>2</v>
      </c>
      <c r="Q1147" s="54"/>
      <c r="R1147" s="52"/>
      <c r="S1147" s="1"/>
      <c r="T1147" s="1"/>
      <c r="U1147" s="1"/>
    </row>
    <row r="1148" spans="1:21" ht="15.6" x14ac:dyDescent="0.3">
      <c r="A1148" s="1"/>
      <c r="B1148" s="3"/>
      <c r="C1148" s="6">
        <v>46174</v>
      </c>
      <c r="D1148" s="3"/>
      <c r="E1148" s="3"/>
      <c r="F1148" s="3"/>
      <c r="G1148" s="3"/>
      <c r="H1148" s="3"/>
      <c r="I1148" s="3"/>
      <c r="J1148" s="3"/>
      <c r="K1148" s="3"/>
      <c r="L1148" s="1"/>
      <c r="M1148" s="1"/>
      <c r="N1148" s="1"/>
      <c r="O1148" s="1"/>
      <c r="P1148" s="7">
        <v>0.92</v>
      </c>
      <c r="Q1148" s="54"/>
      <c r="R1148" s="52"/>
      <c r="S1148" s="1"/>
      <c r="T1148" s="1"/>
      <c r="U1148" s="1"/>
    </row>
    <row r="1149" spans="1:21" ht="42" x14ac:dyDescent="0.3">
      <c r="A1149" s="1"/>
      <c r="B1149" s="55" t="s">
        <v>3</v>
      </c>
      <c r="C1149" s="55" t="s">
        <v>4</v>
      </c>
      <c r="D1149" s="8" t="s">
        <v>5</v>
      </c>
      <c r="E1149" s="8" t="s">
        <v>6</v>
      </c>
      <c r="F1149" s="9" t="s">
        <v>7</v>
      </c>
      <c r="G1149" s="9" t="s">
        <v>8</v>
      </c>
      <c r="H1149" s="9" t="s">
        <v>9</v>
      </c>
      <c r="I1149" s="10" t="s">
        <v>10</v>
      </c>
      <c r="J1149" s="10" t="s">
        <v>11</v>
      </c>
      <c r="K1149" s="11" t="s">
        <v>12</v>
      </c>
      <c r="L1149" s="10" t="s">
        <v>13</v>
      </c>
      <c r="M1149" s="11" t="s">
        <v>14</v>
      </c>
      <c r="N1149" s="12" t="s">
        <v>15</v>
      </c>
      <c r="O1149" s="57" t="s">
        <v>16</v>
      </c>
      <c r="P1149" s="57" t="s">
        <v>17</v>
      </c>
      <c r="Q1149" s="54"/>
      <c r="R1149" s="52"/>
      <c r="S1149" s="1"/>
      <c r="T1149" s="1"/>
      <c r="U1149" s="1"/>
    </row>
    <row r="1150" spans="1:21" x14ac:dyDescent="0.3">
      <c r="A1150" s="1"/>
      <c r="B1150" s="56"/>
      <c r="C1150" s="56"/>
      <c r="D1150" s="13" t="s">
        <v>18</v>
      </c>
      <c r="E1150" s="13" t="s">
        <v>18</v>
      </c>
      <c r="F1150" s="13" t="s">
        <v>18</v>
      </c>
      <c r="G1150" s="13" t="s">
        <v>18</v>
      </c>
      <c r="H1150" s="13" t="s">
        <v>18</v>
      </c>
      <c r="I1150" s="13" t="s">
        <v>18</v>
      </c>
      <c r="J1150" s="13" t="s">
        <v>18</v>
      </c>
      <c r="K1150" s="13" t="s">
        <v>18</v>
      </c>
      <c r="L1150" s="13" t="s">
        <v>18</v>
      </c>
      <c r="M1150" s="13" t="s">
        <v>18</v>
      </c>
      <c r="N1150" s="14" t="s">
        <v>29</v>
      </c>
      <c r="O1150" s="58"/>
      <c r="P1150" s="58"/>
      <c r="Q1150" s="54"/>
      <c r="R1150" s="52"/>
      <c r="S1150" s="1"/>
      <c r="T1150" s="1"/>
      <c r="U1150" s="1"/>
    </row>
    <row r="1151" spans="1:21" x14ac:dyDescent="0.3">
      <c r="A1151" s="1"/>
      <c r="B1151" s="59" t="s">
        <v>20</v>
      </c>
      <c r="C1151" s="60"/>
      <c r="D1151" s="16">
        <v>0.1</v>
      </c>
      <c r="E1151" s="16">
        <v>0.05</v>
      </c>
      <c r="F1151" s="16">
        <v>0.1</v>
      </c>
      <c r="G1151" s="16">
        <v>0.1</v>
      </c>
      <c r="H1151" s="16">
        <v>0.05</v>
      </c>
      <c r="I1151" s="17">
        <v>0.1</v>
      </c>
      <c r="J1151" s="17">
        <v>0.35</v>
      </c>
      <c r="K1151" s="17">
        <v>0.08</v>
      </c>
      <c r="L1151" s="17">
        <v>0.02</v>
      </c>
      <c r="M1151" s="17">
        <v>0.05</v>
      </c>
      <c r="N1151" s="19">
        <v>1</v>
      </c>
      <c r="O1151" s="20"/>
      <c r="P1151" s="22"/>
      <c r="Q1151" s="54"/>
      <c r="R1151" s="52"/>
      <c r="S1151" s="1"/>
      <c r="T1151" s="1"/>
      <c r="U1151" s="1"/>
    </row>
    <row r="1152" spans="1:21" x14ac:dyDescent="0.3">
      <c r="A1152" s="1"/>
      <c r="B1152" s="23">
        <v>1</v>
      </c>
      <c r="C1152" s="37" t="s">
        <v>569</v>
      </c>
      <c r="D1152" s="25">
        <v>1</v>
      </c>
      <c r="E1152" s="25">
        <v>1</v>
      </c>
      <c r="F1152" s="25">
        <v>1</v>
      </c>
      <c r="G1152" s="25">
        <v>1</v>
      </c>
      <c r="H1152" s="25">
        <v>1</v>
      </c>
      <c r="I1152" s="25">
        <v>1</v>
      </c>
      <c r="J1152" s="25">
        <v>1</v>
      </c>
      <c r="K1152" s="25">
        <v>1</v>
      </c>
      <c r="L1152" s="26">
        <v>1</v>
      </c>
      <c r="M1152" s="26">
        <v>1</v>
      </c>
      <c r="N1152" s="27">
        <v>1</v>
      </c>
      <c r="O1152" s="28">
        <v>0</v>
      </c>
      <c r="P1152" s="27">
        <v>1</v>
      </c>
      <c r="Q1152" s="54"/>
      <c r="R1152" s="52"/>
      <c r="S1152" s="1"/>
      <c r="T1152" s="1"/>
      <c r="U1152" s="1"/>
    </row>
    <row r="1153" spans="1:21" x14ac:dyDescent="0.3">
      <c r="A1153" s="1"/>
      <c r="B1153" s="23">
        <v>2</v>
      </c>
      <c r="C1153" s="37" t="s">
        <v>570</v>
      </c>
      <c r="D1153" s="25">
        <v>0.96</v>
      </c>
      <c r="E1153" s="25">
        <v>0.99</v>
      </c>
      <c r="F1153" s="25">
        <v>0.9829</v>
      </c>
      <c r="G1153" s="25">
        <v>1</v>
      </c>
      <c r="H1153" s="25">
        <v>1</v>
      </c>
      <c r="I1153" s="25">
        <v>0.98719999999999997</v>
      </c>
      <c r="J1153" s="25">
        <v>1</v>
      </c>
      <c r="K1153" s="25">
        <v>0</v>
      </c>
      <c r="L1153" s="26">
        <v>0</v>
      </c>
      <c r="M1153" s="26">
        <v>1</v>
      </c>
      <c r="N1153" s="27">
        <v>0.89249999999999996</v>
      </c>
      <c r="O1153" s="28">
        <v>0</v>
      </c>
      <c r="P1153" s="27">
        <v>0.89249999999999996</v>
      </c>
      <c r="Q1153" s="54"/>
      <c r="R1153" s="52"/>
      <c r="S1153" s="1"/>
      <c r="T1153" s="1"/>
      <c r="U1153" s="1"/>
    </row>
    <row r="1154" spans="1:21" x14ac:dyDescent="0.3">
      <c r="A1154" s="1"/>
      <c r="B1154" s="23">
        <v>3</v>
      </c>
      <c r="C1154" s="37" t="s">
        <v>571</v>
      </c>
      <c r="D1154" s="25">
        <v>0.98</v>
      </c>
      <c r="E1154" s="25">
        <v>1</v>
      </c>
      <c r="F1154" s="25">
        <v>1</v>
      </c>
      <c r="G1154" s="25">
        <v>0.97719999999999996</v>
      </c>
      <c r="H1154" s="25">
        <v>1</v>
      </c>
      <c r="I1154" s="25">
        <v>1</v>
      </c>
      <c r="J1154" s="25">
        <v>1</v>
      </c>
      <c r="K1154" s="25">
        <v>0.5</v>
      </c>
      <c r="L1154" s="26">
        <v>0</v>
      </c>
      <c r="M1154" s="26">
        <v>1</v>
      </c>
      <c r="N1154" s="27">
        <v>0.93569999999999998</v>
      </c>
      <c r="O1154" s="28">
        <v>0</v>
      </c>
      <c r="P1154" s="27">
        <v>0.93569999999999998</v>
      </c>
      <c r="Q1154" s="54"/>
      <c r="R1154" s="52"/>
      <c r="S1154" s="1"/>
      <c r="T1154" s="1"/>
      <c r="U1154" s="1"/>
    </row>
    <row r="1155" spans="1:21" x14ac:dyDescent="0.3">
      <c r="A1155" s="1"/>
      <c r="B1155" s="23">
        <v>4</v>
      </c>
      <c r="C1155" s="37" t="s">
        <v>572</v>
      </c>
      <c r="D1155" s="25">
        <v>1</v>
      </c>
      <c r="E1155" s="25">
        <v>1</v>
      </c>
      <c r="F1155" s="25">
        <v>1</v>
      </c>
      <c r="G1155" s="25">
        <v>1</v>
      </c>
      <c r="H1155" s="25">
        <v>1</v>
      </c>
      <c r="I1155" s="25">
        <v>0.96640000000000004</v>
      </c>
      <c r="J1155" s="25">
        <v>0.8</v>
      </c>
      <c r="K1155" s="25">
        <v>1</v>
      </c>
      <c r="L1155" s="26">
        <v>1</v>
      </c>
      <c r="M1155" s="26">
        <v>1</v>
      </c>
      <c r="N1155" s="27">
        <v>0.92659999999999998</v>
      </c>
      <c r="O1155" s="28">
        <v>0</v>
      </c>
      <c r="P1155" s="27">
        <v>0.92659999999999998</v>
      </c>
      <c r="Q1155" s="54"/>
      <c r="R1155" s="52"/>
      <c r="S1155" s="1"/>
      <c r="T1155" s="1"/>
      <c r="U1155" s="1"/>
    </row>
    <row r="1156" spans="1:21" x14ac:dyDescent="0.3">
      <c r="A1156" s="1"/>
      <c r="B1156" s="23">
        <v>5</v>
      </c>
      <c r="C1156" s="37" t="s">
        <v>573</v>
      </c>
      <c r="D1156" s="25">
        <v>0.98</v>
      </c>
      <c r="E1156" s="25">
        <v>1</v>
      </c>
      <c r="F1156" s="25">
        <v>1</v>
      </c>
      <c r="G1156" s="25">
        <v>0.94840000000000002</v>
      </c>
      <c r="H1156" s="25">
        <v>1</v>
      </c>
      <c r="I1156" s="25">
        <v>0.99439999999999995</v>
      </c>
      <c r="J1156" s="25">
        <v>0.8</v>
      </c>
      <c r="K1156" s="25">
        <v>0</v>
      </c>
      <c r="L1156" s="26">
        <v>0</v>
      </c>
      <c r="M1156" s="26">
        <v>1</v>
      </c>
      <c r="N1156" s="27">
        <v>0.82230000000000003</v>
      </c>
      <c r="O1156" s="28">
        <v>0</v>
      </c>
      <c r="P1156" s="27">
        <v>0.82230000000000003</v>
      </c>
      <c r="Q1156" s="54"/>
      <c r="R1156" s="52"/>
      <c r="S1156" s="1"/>
      <c r="T1156" s="1"/>
      <c r="U1156" s="1"/>
    </row>
    <row r="1157" spans="1:21" x14ac:dyDescent="0.3">
      <c r="A1157" s="1"/>
      <c r="B1157" s="59" t="s">
        <v>27</v>
      </c>
      <c r="C1157" s="60"/>
      <c r="D1157" s="31">
        <v>0.98</v>
      </c>
      <c r="E1157" s="31">
        <v>1</v>
      </c>
      <c r="F1157" s="31">
        <v>1</v>
      </c>
      <c r="G1157" s="31">
        <v>0.99</v>
      </c>
      <c r="H1157" s="31">
        <v>1</v>
      </c>
      <c r="I1157" s="31">
        <v>0.99</v>
      </c>
      <c r="J1157" s="31">
        <v>0.92</v>
      </c>
      <c r="K1157" s="31">
        <v>0.5</v>
      </c>
      <c r="L1157" s="31">
        <v>0.4</v>
      </c>
      <c r="M1157" s="31">
        <v>1</v>
      </c>
      <c r="N1157" s="31">
        <v>0.89</v>
      </c>
      <c r="O1157" s="31">
        <v>0</v>
      </c>
      <c r="P1157" s="31">
        <v>0.92</v>
      </c>
      <c r="Q1157" s="54"/>
      <c r="R1157" s="52"/>
      <c r="S1157" s="1"/>
      <c r="T1157" s="1"/>
      <c r="U1157" s="1"/>
    </row>
    <row r="1158" spans="1:21" x14ac:dyDescent="0.3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52"/>
      <c r="R1158" s="52"/>
      <c r="S1158" s="1"/>
      <c r="T1158" s="1"/>
      <c r="U1158" s="1"/>
    </row>
    <row r="1159" spans="1:21" x14ac:dyDescent="0.3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52"/>
      <c r="R1159" s="52"/>
      <c r="S1159" s="1"/>
      <c r="T1159" s="1"/>
      <c r="U1159" s="1"/>
    </row>
    <row r="1160" spans="1:21" ht="15.6" x14ac:dyDescent="0.3">
      <c r="A1160" s="1"/>
      <c r="B1160" s="3"/>
      <c r="C1160" s="4" t="s">
        <v>574</v>
      </c>
      <c r="D1160" s="3"/>
      <c r="E1160" s="3"/>
      <c r="F1160" s="3"/>
      <c r="G1160" s="3"/>
      <c r="H1160" s="3"/>
      <c r="I1160" s="3"/>
      <c r="J1160" s="3"/>
      <c r="K1160" s="3"/>
      <c r="L1160" s="1"/>
      <c r="M1160" s="1"/>
      <c r="N1160" s="1"/>
      <c r="O1160" s="1"/>
      <c r="P1160" s="5" t="s">
        <v>2</v>
      </c>
      <c r="Q1160" s="54"/>
      <c r="R1160" s="52"/>
      <c r="S1160" s="1"/>
      <c r="T1160" s="1"/>
      <c r="U1160" s="1"/>
    </row>
    <row r="1161" spans="1:21" ht="15.6" x14ac:dyDescent="0.3">
      <c r="A1161" s="1"/>
      <c r="B1161" s="3"/>
      <c r="C1161" s="6">
        <v>46174</v>
      </c>
      <c r="D1161" s="3"/>
      <c r="E1161" s="3"/>
      <c r="F1161" s="3"/>
      <c r="G1161" s="3"/>
      <c r="H1161" s="3"/>
      <c r="I1161" s="3"/>
      <c r="J1161" s="3"/>
      <c r="K1161" s="3"/>
      <c r="L1161" s="1"/>
      <c r="M1161" s="1"/>
      <c r="N1161" s="1"/>
      <c r="O1161" s="1"/>
      <c r="P1161" s="7">
        <v>0.92</v>
      </c>
      <c r="Q1161" s="54"/>
      <c r="R1161" s="52"/>
      <c r="S1161" s="1"/>
      <c r="T1161" s="1"/>
      <c r="U1161" s="1"/>
    </row>
    <row r="1162" spans="1:21" ht="42" x14ac:dyDescent="0.3">
      <c r="A1162" s="1"/>
      <c r="B1162" s="55" t="s">
        <v>3</v>
      </c>
      <c r="C1162" s="55" t="s">
        <v>4</v>
      </c>
      <c r="D1162" s="8" t="s">
        <v>5</v>
      </c>
      <c r="E1162" s="8" t="s">
        <v>6</v>
      </c>
      <c r="F1162" s="9" t="s">
        <v>7</v>
      </c>
      <c r="G1162" s="9" t="s">
        <v>8</v>
      </c>
      <c r="H1162" s="9" t="s">
        <v>9</v>
      </c>
      <c r="I1162" s="10" t="s">
        <v>10</v>
      </c>
      <c r="J1162" s="10" t="s">
        <v>11</v>
      </c>
      <c r="K1162" s="11" t="s">
        <v>12</v>
      </c>
      <c r="L1162" s="10" t="s">
        <v>13</v>
      </c>
      <c r="M1162" s="11" t="s">
        <v>14</v>
      </c>
      <c r="N1162" s="12" t="s">
        <v>15</v>
      </c>
      <c r="O1162" s="57" t="s">
        <v>16</v>
      </c>
      <c r="P1162" s="57" t="s">
        <v>17</v>
      </c>
      <c r="Q1162" s="54"/>
      <c r="R1162" s="52"/>
      <c r="S1162" s="1"/>
      <c r="T1162" s="1"/>
      <c r="U1162" s="1"/>
    </row>
    <row r="1163" spans="1:21" x14ac:dyDescent="0.3">
      <c r="A1163" s="1"/>
      <c r="B1163" s="56"/>
      <c r="C1163" s="56"/>
      <c r="D1163" s="13" t="s">
        <v>18</v>
      </c>
      <c r="E1163" s="13" t="s">
        <v>18</v>
      </c>
      <c r="F1163" s="13" t="s">
        <v>18</v>
      </c>
      <c r="G1163" s="13" t="s">
        <v>18</v>
      </c>
      <c r="H1163" s="13" t="s">
        <v>18</v>
      </c>
      <c r="I1163" s="13" t="s">
        <v>18</v>
      </c>
      <c r="J1163" s="13" t="s">
        <v>18</v>
      </c>
      <c r="K1163" s="13" t="s">
        <v>18</v>
      </c>
      <c r="L1163" s="13" t="s">
        <v>18</v>
      </c>
      <c r="M1163" s="13" t="s">
        <v>18</v>
      </c>
      <c r="N1163" s="14" t="s">
        <v>29</v>
      </c>
      <c r="O1163" s="58"/>
      <c r="P1163" s="58"/>
      <c r="Q1163" s="54"/>
      <c r="R1163" s="52"/>
      <c r="S1163" s="1"/>
      <c r="T1163" s="1"/>
      <c r="U1163" s="1"/>
    </row>
    <row r="1164" spans="1:21" x14ac:dyDescent="0.3">
      <c r="A1164" s="1"/>
      <c r="B1164" s="59" t="s">
        <v>20</v>
      </c>
      <c r="C1164" s="60"/>
      <c r="D1164" s="16">
        <v>0.1</v>
      </c>
      <c r="E1164" s="16">
        <v>0.05</v>
      </c>
      <c r="F1164" s="16">
        <v>0.1</v>
      </c>
      <c r="G1164" s="16">
        <v>0.1</v>
      </c>
      <c r="H1164" s="16">
        <v>0.05</v>
      </c>
      <c r="I1164" s="17">
        <v>0.1</v>
      </c>
      <c r="J1164" s="17">
        <v>0.35</v>
      </c>
      <c r="K1164" s="17">
        <v>0.08</v>
      </c>
      <c r="L1164" s="17">
        <v>0.02</v>
      </c>
      <c r="M1164" s="17">
        <v>0.05</v>
      </c>
      <c r="N1164" s="19">
        <v>1</v>
      </c>
      <c r="O1164" s="20"/>
      <c r="P1164" s="22"/>
      <c r="Q1164" s="54"/>
      <c r="R1164" s="52"/>
      <c r="S1164" s="1"/>
      <c r="T1164" s="1"/>
      <c r="U1164" s="1"/>
    </row>
    <row r="1165" spans="1:21" x14ac:dyDescent="0.3">
      <c r="A1165" s="1"/>
      <c r="B1165" s="23">
        <v>1</v>
      </c>
      <c r="C1165" s="37" t="s">
        <v>575</v>
      </c>
      <c r="D1165" s="25">
        <v>0.98</v>
      </c>
      <c r="E1165" s="25">
        <v>1</v>
      </c>
      <c r="F1165" s="25">
        <v>1</v>
      </c>
      <c r="G1165" s="25">
        <v>0.89759999999999995</v>
      </c>
      <c r="H1165" s="25">
        <v>1</v>
      </c>
      <c r="I1165" s="25">
        <v>0.99870000000000003</v>
      </c>
      <c r="J1165" s="25">
        <v>1</v>
      </c>
      <c r="K1165" s="25">
        <v>0.5</v>
      </c>
      <c r="L1165" s="26">
        <v>1</v>
      </c>
      <c r="M1165" s="26">
        <v>1</v>
      </c>
      <c r="N1165" s="27">
        <v>0.9476</v>
      </c>
      <c r="O1165" s="28">
        <v>0</v>
      </c>
      <c r="P1165" s="27">
        <v>0.9476</v>
      </c>
      <c r="Q1165" s="54"/>
      <c r="R1165" s="52"/>
      <c r="S1165" s="1"/>
      <c r="T1165" s="1"/>
      <c r="U1165" s="1"/>
    </row>
    <row r="1166" spans="1:21" x14ac:dyDescent="0.3">
      <c r="A1166" s="1"/>
      <c r="B1166" s="23">
        <v>2</v>
      </c>
      <c r="C1166" s="37" t="s">
        <v>576</v>
      </c>
      <c r="D1166" s="25">
        <v>1</v>
      </c>
      <c r="E1166" s="25">
        <v>0.99</v>
      </c>
      <c r="F1166" s="25">
        <v>1</v>
      </c>
      <c r="G1166" s="25">
        <v>0.96960000000000002</v>
      </c>
      <c r="H1166" s="25">
        <v>1</v>
      </c>
      <c r="I1166" s="25">
        <v>0.96120000000000005</v>
      </c>
      <c r="J1166" s="25">
        <v>0.8</v>
      </c>
      <c r="K1166" s="25">
        <v>0.5</v>
      </c>
      <c r="L1166" s="26">
        <v>0</v>
      </c>
      <c r="M1166" s="26">
        <v>1</v>
      </c>
      <c r="N1166" s="27">
        <v>0.86260000000000003</v>
      </c>
      <c r="O1166" s="28">
        <v>0</v>
      </c>
      <c r="P1166" s="27">
        <v>0.86260000000000003</v>
      </c>
      <c r="Q1166" s="54"/>
      <c r="R1166" s="52"/>
      <c r="S1166" s="1"/>
      <c r="T1166" s="1"/>
      <c r="U1166" s="1"/>
    </row>
    <row r="1167" spans="1:21" x14ac:dyDescent="0.3">
      <c r="A1167" s="1"/>
      <c r="B1167" s="23">
        <v>3</v>
      </c>
      <c r="C1167" s="37" t="s">
        <v>577</v>
      </c>
      <c r="D1167" s="25">
        <v>0.96</v>
      </c>
      <c r="E1167" s="25">
        <v>1</v>
      </c>
      <c r="F1167" s="25">
        <v>1</v>
      </c>
      <c r="G1167" s="25">
        <v>0.92410000000000003</v>
      </c>
      <c r="H1167" s="25">
        <v>1</v>
      </c>
      <c r="I1167" s="25">
        <v>0.99439999999999995</v>
      </c>
      <c r="J1167" s="25">
        <v>1</v>
      </c>
      <c r="K1167" s="25">
        <v>0.5</v>
      </c>
      <c r="L1167" s="26">
        <v>0</v>
      </c>
      <c r="M1167" s="26">
        <v>0.5</v>
      </c>
      <c r="N1167" s="27">
        <v>0.90290000000000004</v>
      </c>
      <c r="O1167" s="28">
        <v>0</v>
      </c>
      <c r="P1167" s="27">
        <v>0.90290000000000004</v>
      </c>
      <c r="Q1167" s="54"/>
      <c r="R1167" s="52"/>
      <c r="S1167" s="1"/>
      <c r="T1167" s="1"/>
      <c r="U1167" s="1"/>
    </row>
    <row r="1168" spans="1:21" x14ac:dyDescent="0.3">
      <c r="A1168" s="1"/>
      <c r="B1168" s="23">
        <v>4</v>
      </c>
      <c r="C1168" s="37" t="s">
        <v>578</v>
      </c>
      <c r="D1168" s="25">
        <v>1</v>
      </c>
      <c r="E1168" s="25">
        <v>1</v>
      </c>
      <c r="F1168" s="25">
        <v>1</v>
      </c>
      <c r="G1168" s="25">
        <v>1</v>
      </c>
      <c r="H1168" s="25">
        <v>1</v>
      </c>
      <c r="I1168" s="25">
        <v>0.995</v>
      </c>
      <c r="J1168" s="25">
        <v>0.8</v>
      </c>
      <c r="K1168" s="25">
        <v>1</v>
      </c>
      <c r="L1168" s="26">
        <v>0</v>
      </c>
      <c r="M1168" s="26">
        <v>1</v>
      </c>
      <c r="N1168" s="27">
        <v>0.90949999999999998</v>
      </c>
      <c r="O1168" s="28">
        <v>0</v>
      </c>
      <c r="P1168" s="27">
        <v>0.90949999999999998</v>
      </c>
      <c r="Q1168" s="54"/>
      <c r="R1168" s="52"/>
      <c r="S1168" s="1"/>
      <c r="T1168" s="1"/>
      <c r="U1168" s="1"/>
    </row>
    <row r="1169" spans="1:21" x14ac:dyDescent="0.3">
      <c r="A1169" s="1"/>
      <c r="B1169" s="23">
        <v>5</v>
      </c>
      <c r="C1169" s="37" t="s">
        <v>579</v>
      </c>
      <c r="D1169" s="25">
        <v>0.96</v>
      </c>
      <c r="E1169" s="25">
        <v>1</v>
      </c>
      <c r="F1169" s="25">
        <v>1</v>
      </c>
      <c r="G1169" s="25">
        <v>1</v>
      </c>
      <c r="H1169" s="25">
        <v>1</v>
      </c>
      <c r="I1169" s="25">
        <v>1</v>
      </c>
      <c r="J1169" s="25">
        <v>1</v>
      </c>
      <c r="K1169" s="25">
        <v>1</v>
      </c>
      <c r="L1169" s="26">
        <v>0</v>
      </c>
      <c r="M1169" s="26">
        <v>1</v>
      </c>
      <c r="N1169" s="27">
        <v>0.97599999999999998</v>
      </c>
      <c r="O1169" s="28">
        <v>0</v>
      </c>
      <c r="P1169" s="27">
        <v>0.97599999999999998</v>
      </c>
      <c r="Q1169" s="54"/>
      <c r="R1169" s="52"/>
      <c r="S1169" s="1"/>
      <c r="T1169" s="1"/>
      <c r="U1169" s="1"/>
    </row>
    <row r="1170" spans="1:21" x14ac:dyDescent="0.3">
      <c r="A1170" s="1"/>
      <c r="B1170" s="59" t="s">
        <v>27</v>
      </c>
      <c r="C1170" s="60"/>
      <c r="D1170" s="31">
        <v>0.98</v>
      </c>
      <c r="E1170" s="31">
        <v>1</v>
      </c>
      <c r="F1170" s="31">
        <v>1</v>
      </c>
      <c r="G1170" s="31">
        <v>0.96</v>
      </c>
      <c r="H1170" s="31">
        <v>1</v>
      </c>
      <c r="I1170" s="31">
        <v>0.99</v>
      </c>
      <c r="J1170" s="31">
        <v>0.92</v>
      </c>
      <c r="K1170" s="31">
        <v>0.7</v>
      </c>
      <c r="L1170" s="31">
        <v>0.2</v>
      </c>
      <c r="M1170" s="31">
        <v>0.9</v>
      </c>
      <c r="N1170" s="31">
        <v>0.91</v>
      </c>
      <c r="O1170" s="31">
        <v>0</v>
      </c>
      <c r="P1170" s="31">
        <v>0.92</v>
      </c>
      <c r="Q1170" s="54"/>
      <c r="R1170" s="52"/>
      <c r="S1170" s="1"/>
      <c r="T1170" s="1"/>
      <c r="U1170" s="1"/>
    </row>
    <row r="1171" spans="1:21" x14ac:dyDescent="0.3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52"/>
      <c r="R1171" s="52"/>
      <c r="S1171" s="1"/>
      <c r="T1171" s="1"/>
      <c r="U1171" s="1"/>
    </row>
    <row r="1172" spans="1:21" x14ac:dyDescent="0.3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52"/>
      <c r="R1172" s="52"/>
      <c r="S1172" s="1"/>
      <c r="T1172" s="1"/>
      <c r="U1172" s="1"/>
    </row>
    <row r="1173" spans="1:21" ht="15.6" x14ac:dyDescent="0.3">
      <c r="A1173" s="1"/>
      <c r="B1173" s="3"/>
      <c r="C1173" s="4" t="s">
        <v>580</v>
      </c>
      <c r="D1173" s="3"/>
      <c r="E1173" s="3"/>
      <c r="F1173" s="3"/>
      <c r="G1173" s="3"/>
      <c r="H1173" s="3"/>
      <c r="I1173" s="3"/>
      <c r="J1173" s="3"/>
      <c r="K1173" s="3"/>
      <c r="L1173" s="1"/>
      <c r="M1173" s="1"/>
      <c r="N1173" s="1"/>
      <c r="O1173" s="1"/>
      <c r="P1173" s="5" t="s">
        <v>2</v>
      </c>
      <c r="Q1173" s="54"/>
      <c r="R1173" s="52"/>
      <c r="S1173" s="1"/>
      <c r="T1173" s="1"/>
      <c r="U1173" s="1"/>
    </row>
    <row r="1174" spans="1:21" ht="15.6" x14ac:dyDescent="0.3">
      <c r="A1174" s="1"/>
      <c r="B1174" s="3"/>
      <c r="C1174" s="6">
        <v>46174</v>
      </c>
      <c r="D1174" s="3"/>
      <c r="E1174" s="3"/>
      <c r="F1174" s="3"/>
      <c r="G1174" s="3"/>
      <c r="H1174" s="3"/>
      <c r="I1174" s="3"/>
      <c r="J1174" s="3"/>
      <c r="K1174" s="3"/>
      <c r="L1174" s="1"/>
      <c r="M1174" s="1"/>
      <c r="N1174" s="1"/>
      <c r="O1174" s="1"/>
      <c r="P1174" s="7">
        <v>0.97</v>
      </c>
      <c r="Q1174" s="54"/>
      <c r="R1174" s="52"/>
      <c r="S1174" s="1"/>
      <c r="T1174" s="1"/>
      <c r="U1174" s="1"/>
    </row>
    <row r="1175" spans="1:21" ht="42" x14ac:dyDescent="0.3">
      <c r="A1175" s="1"/>
      <c r="B1175" s="55" t="s">
        <v>3</v>
      </c>
      <c r="C1175" s="55" t="s">
        <v>4</v>
      </c>
      <c r="D1175" s="8" t="s">
        <v>5</v>
      </c>
      <c r="E1175" s="8" t="s">
        <v>6</v>
      </c>
      <c r="F1175" s="9" t="s">
        <v>7</v>
      </c>
      <c r="G1175" s="9" t="s">
        <v>8</v>
      </c>
      <c r="H1175" s="9" t="s">
        <v>9</v>
      </c>
      <c r="I1175" s="10" t="s">
        <v>10</v>
      </c>
      <c r="J1175" s="10" t="s">
        <v>11</v>
      </c>
      <c r="K1175" s="11" t="s">
        <v>12</v>
      </c>
      <c r="L1175" s="10" t="s">
        <v>13</v>
      </c>
      <c r="M1175" s="11" t="s">
        <v>14</v>
      </c>
      <c r="N1175" s="12" t="s">
        <v>15</v>
      </c>
      <c r="O1175" s="57" t="s">
        <v>16</v>
      </c>
      <c r="P1175" s="57" t="s">
        <v>17</v>
      </c>
      <c r="Q1175" s="54"/>
      <c r="R1175" s="52"/>
      <c r="S1175" s="1"/>
      <c r="T1175" s="1"/>
      <c r="U1175" s="1"/>
    </row>
    <row r="1176" spans="1:21" x14ac:dyDescent="0.3">
      <c r="A1176" s="1"/>
      <c r="B1176" s="56"/>
      <c r="C1176" s="56"/>
      <c r="D1176" s="13" t="s">
        <v>18</v>
      </c>
      <c r="E1176" s="13" t="s">
        <v>18</v>
      </c>
      <c r="F1176" s="13" t="s">
        <v>18</v>
      </c>
      <c r="G1176" s="13" t="s">
        <v>18</v>
      </c>
      <c r="H1176" s="13" t="s">
        <v>18</v>
      </c>
      <c r="I1176" s="13" t="s">
        <v>18</v>
      </c>
      <c r="J1176" s="13" t="s">
        <v>18</v>
      </c>
      <c r="K1176" s="13" t="s">
        <v>18</v>
      </c>
      <c r="L1176" s="13" t="s">
        <v>18</v>
      </c>
      <c r="M1176" s="13" t="s">
        <v>18</v>
      </c>
      <c r="N1176" s="14" t="s">
        <v>29</v>
      </c>
      <c r="O1176" s="58"/>
      <c r="P1176" s="58"/>
      <c r="Q1176" s="54"/>
      <c r="R1176" s="52"/>
      <c r="S1176" s="1"/>
      <c r="T1176" s="1"/>
      <c r="U1176" s="1"/>
    </row>
    <row r="1177" spans="1:21" x14ac:dyDescent="0.3">
      <c r="A1177" s="1"/>
      <c r="B1177" s="59" t="s">
        <v>20</v>
      </c>
      <c r="C1177" s="60"/>
      <c r="D1177" s="16">
        <v>0.1</v>
      </c>
      <c r="E1177" s="16">
        <v>0.05</v>
      </c>
      <c r="F1177" s="16">
        <v>0.1</v>
      </c>
      <c r="G1177" s="16">
        <v>0.1</v>
      </c>
      <c r="H1177" s="16">
        <v>0.05</v>
      </c>
      <c r="I1177" s="17">
        <v>0.1</v>
      </c>
      <c r="J1177" s="17">
        <v>0.35</v>
      </c>
      <c r="K1177" s="17">
        <v>0.08</v>
      </c>
      <c r="L1177" s="17">
        <v>0.02</v>
      </c>
      <c r="M1177" s="17">
        <v>0.05</v>
      </c>
      <c r="N1177" s="19">
        <v>1</v>
      </c>
      <c r="O1177" s="20"/>
      <c r="P1177" s="22"/>
      <c r="Q1177" s="54"/>
      <c r="R1177" s="52"/>
      <c r="S1177" s="1"/>
      <c r="T1177" s="1"/>
      <c r="U1177" s="1"/>
    </row>
    <row r="1178" spans="1:21" ht="18" x14ac:dyDescent="0.3">
      <c r="A1178" s="1"/>
      <c r="B1178" s="23">
        <v>1</v>
      </c>
      <c r="C1178" s="24" t="s">
        <v>581</v>
      </c>
      <c r="D1178" s="25">
        <v>1</v>
      </c>
      <c r="E1178" s="25">
        <v>1</v>
      </c>
      <c r="F1178" s="25">
        <v>1</v>
      </c>
      <c r="G1178" s="25">
        <v>1</v>
      </c>
      <c r="H1178" s="25">
        <v>1</v>
      </c>
      <c r="I1178" s="25">
        <v>1</v>
      </c>
      <c r="J1178" s="25">
        <v>1</v>
      </c>
      <c r="K1178" s="25">
        <v>1</v>
      </c>
      <c r="L1178" s="26">
        <v>1</v>
      </c>
      <c r="M1178" s="26">
        <v>0.5</v>
      </c>
      <c r="N1178" s="27">
        <v>0.97499999999999998</v>
      </c>
      <c r="O1178" s="28">
        <v>0</v>
      </c>
      <c r="P1178" s="27">
        <v>0.97499999999999998</v>
      </c>
      <c r="Q1178" s="54"/>
      <c r="R1178" s="52"/>
      <c r="S1178" s="1"/>
      <c r="T1178" s="1"/>
      <c r="U1178" s="1"/>
    </row>
    <row r="1179" spans="1:21" ht="18" x14ac:dyDescent="0.3">
      <c r="A1179" s="1"/>
      <c r="B1179" s="23">
        <v>2</v>
      </c>
      <c r="C1179" s="24" t="s">
        <v>582</v>
      </c>
      <c r="D1179" s="25">
        <v>1</v>
      </c>
      <c r="E1179" s="25">
        <v>1</v>
      </c>
      <c r="F1179" s="25">
        <v>1</v>
      </c>
      <c r="G1179" s="25">
        <v>1</v>
      </c>
      <c r="H1179" s="25">
        <v>1</v>
      </c>
      <c r="I1179" s="25">
        <v>0.99260000000000004</v>
      </c>
      <c r="J1179" s="25">
        <v>1</v>
      </c>
      <c r="K1179" s="25">
        <v>1</v>
      </c>
      <c r="L1179" s="26">
        <v>0</v>
      </c>
      <c r="M1179" s="26">
        <v>1</v>
      </c>
      <c r="N1179" s="27">
        <v>0.97929999999999995</v>
      </c>
      <c r="O1179" s="28">
        <v>0</v>
      </c>
      <c r="P1179" s="27">
        <v>0.97929999999999995</v>
      </c>
      <c r="Q1179" s="54"/>
      <c r="R1179" s="52"/>
      <c r="S1179" s="1"/>
      <c r="T1179" s="1"/>
      <c r="U1179" s="1"/>
    </row>
    <row r="1180" spans="1:21" ht="18" x14ac:dyDescent="0.3">
      <c r="A1180" s="1"/>
      <c r="B1180" s="23">
        <v>3</v>
      </c>
      <c r="C1180" s="24" t="s">
        <v>583</v>
      </c>
      <c r="D1180" s="25">
        <v>1</v>
      </c>
      <c r="E1180" s="25">
        <v>1</v>
      </c>
      <c r="F1180" s="25">
        <v>1</v>
      </c>
      <c r="G1180" s="25">
        <v>1</v>
      </c>
      <c r="H1180" s="25">
        <v>1</v>
      </c>
      <c r="I1180" s="25">
        <v>0.99129999999999996</v>
      </c>
      <c r="J1180" s="25">
        <v>1</v>
      </c>
      <c r="K1180" s="25">
        <v>1</v>
      </c>
      <c r="L1180" s="26">
        <v>0</v>
      </c>
      <c r="M1180" s="26">
        <v>1</v>
      </c>
      <c r="N1180" s="27">
        <v>0.97909999999999997</v>
      </c>
      <c r="O1180" s="28">
        <v>0</v>
      </c>
      <c r="P1180" s="27">
        <v>0.97909999999999997</v>
      </c>
      <c r="Q1180" s="54"/>
      <c r="R1180" s="52"/>
      <c r="S1180" s="1"/>
      <c r="T1180" s="1"/>
      <c r="U1180" s="1"/>
    </row>
    <row r="1181" spans="1:21" ht="18" x14ac:dyDescent="0.3">
      <c r="A1181" s="1"/>
      <c r="B1181" s="23">
        <v>4</v>
      </c>
      <c r="C1181" s="24" t="s">
        <v>584</v>
      </c>
      <c r="D1181" s="25">
        <v>1</v>
      </c>
      <c r="E1181" s="25">
        <v>1</v>
      </c>
      <c r="F1181" s="25">
        <v>1</v>
      </c>
      <c r="G1181" s="25">
        <v>1</v>
      </c>
      <c r="H1181" s="25">
        <v>1</v>
      </c>
      <c r="I1181" s="25">
        <v>0.99570000000000003</v>
      </c>
      <c r="J1181" s="25">
        <v>1</v>
      </c>
      <c r="K1181" s="25">
        <v>1</v>
      </c>
      <c r="L1181" s="26">
        <v>0</v>
      </c>
      <c r="M1181" s="26">
        <v>1</v>
      </c>
      <c r="N1181" s="27">
        <v>0.97960000000000003</v>
      </c>
      <c r="O1181" s="28">
        <v>0</v>
      </c>
      <c r="P1181" s="27">
        <v>0.97960000000000003</v>
      </c>
      <c r="Q1181" s="54"/>
      <c r="R1181" s="52"/>
      <c r="S1181" s="1"/>
      <c r="T1181" s="1"/>
      <c r="U1181" s="1"/>
    </row>
    <row r="1182" spans="1:21" ht="18" x14ac:dyDescent="0.3">
      <c r="A1182" s="1"/>
      <c r="B1182" s="23">
        <v>5</v>
      </c>
      <c r="C1182" s="24" t="s">
        <v>585</v>
      </c>
      <c r="D1182" s="25">
        <v>1</v>
      </c>
      <c r="E1182" s="25">
        <v>1</v>
      </c>
      <c r="F1182" s="25">
        <v>1</v>
      </c>
      <c r="G1182" s="25">
        <v>0.94110000000000005</v>
      </c>
      <c r="H1182" s="25">
        <v>1</v>
      </c>
      <c r="I1182" s="25">
        <v>1</v>
      </c>
      <c r="J1182" s="25">
        <v>1</v>
      </c>
      <c r="K1182" s="25">
        <v>0.5</v>
      </c>
      <c r="L1182" s="26">
        <v>0</v>
      </c>
      <c r="M1182" s="26">
        <v>1</v>
      </c>
      <c r="N1182" s="27">
        <v>0.93410000000000004</v>
      </c>
      <c r="O1182" s="28">
        <v>0</v>
      </c>
      <c r="P1182" s="27">
        <v>0.93410000000000004</v>
      </c>
      <c r="Q1182" s="54"/>
      <c r="R1182" s="52"/>
      <c r="S1182" s="1"/>
      <c r="T1182" s="1"/>
      <c r="U1182" s="1"/>
    </row>
    <row r="1183" spans="1:21" x14ac:dyDescent="0.3">
      <c r="A1183" s="1"/>
      <c r="B1183" s="59" t="s">
        <v>27</v>
      </c>
      <c r="C1183" s="60"/>
      <c r="D1183" s="31">
        <v>1</v>
      </c>
      <c r="E1183" s="31">
        <v>1</v>
      </c>
      <c r="F1183" s="31">
        <v>1</v>
      </c>
      <c r="G1183" s="31">
        <v>0.99</v>
      </c>
      <c r="H1183" s="31">
        <v>1</v>
      </c>
      <c r="I1183" s="31">
        <v>1</v>
      </c>
      <c r="J1183" s="31">
        <v>1</v>
      </c>
      <c r="K1183" s="31">
        <v>0.9</v>
      </c>
      <c r="L1183" s="31">
        <v>0.2</v>
      </c>
      <c r="M1183" s="31">
        <v>0.9</v>
      </c>
      <c r="N1183" s="31">
        <v>0.97</v>
      </c>
      <c r="O1183" s="31">
        <v>0</v>
      </c>
      <c r="P1183" s="31">
        <v>0.97</v>
      </c>
      <c r="Q1183" s="54"/>
      <c r="R1183" s="52"/>
      <c r="S1183" s="1"/>
      <c r="T1183" s="1"/>
      <c r="U1183" s="1"/>
    </row>
    <row r="1184" spans="1:21" x14ac:dyDescent="0.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52"/>
      <c r="R1184" s="52"/>
      <c r="S1184" s="1"/>
      <c r="T1184" s="1"/>
      <c r="U1184" s="1"/>
    </row>
    <row r="1185" spans="1:21" x14ac:dyDescent="0.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52"/>
      <c r="R1185" s="52"/>
      <c r="S1185" s="1"/>
      <c r="T1185" s="1"/>
      <c r="U1185" s="1"/>
    </row>
    <row r="1186" spans="1:21" ht="15.6" x14ac:dyDescent="0.3">
      <c r="A1186" s="1"/>
      <c r="B1186" s="3"/>
      <c r="C1186" s="4" t="s">
        <v>586</v>
      </c>
      <c r="D1186" s="3"/>
      <c r="E1186" s="3"/>
      <c r="F1186" s="3"/>
      <c r="G1186" s="3"/>
      <c r="H1186" s="3"/>
      <c r="I1186" s="3"/>
      <c r="J1186" s="3"/>
      <c r="K1186" s="3"/>
      <c r="L1186" s="1"/>
      <c r="M1186" s="1"/>
      <c r="N1186" s="1"/>
      <c r="O1186" s="1"/>
      <c r="P1186" s="5" t="s">
        <v>2</v>
      </c>
      <c r="Q1186" s="54"/>
      <c r="R1186" s="52"/>
      <c r="S1186" s="1"/>
      <c r="T1186" s="1"/>
      <c r="U1186" s="1"/>
    </row>
    <row r="1187" spans="1:21" ht="15.6" x14ac:dyDescent="0.3">
      <c r="A1187" s="1"/>
      <c r="B1187" s="3"/>
      <c r="C1187" s="6">
        <v>46174</v>
      </c>
      <c r="D1187" s="3"/>
      <c r="E1187" s="3"/>
      <c r="F1187" s="3"/>
      <c r="G1187" s="3"/>
      <c r="H1187" s="3"/>
      <c r="I1187" s="3"/>
      <c r="J1187" s="3"/>
      <c r="K1187" s="3"/>
      <c r="L1187" s="1"/>
      <c r="M1187" s="1"/>
      <c r="N1187" s="1"/>
      <c r="O1187" s="1"/>
      <c r="P1187" s="7">
        <v>0.88</v>
      </c>
      <c r="Q1187" s="54"/>
      <c r="R1187" s="52"/>
      <c r="S1187" s="1"/>
      <c r="T1187" s="1"/>
      <c r="U1187" s="1"/>
    </row>
    <row r="1188" spans="1:21" ht="42" x14ac:dyDescent="0.3">
      <c r="A1188" s="1"/>
      <c r="B1188" s="55" t="s">
        <v>3</v>
      </c>
      <c r="C1188" s="55" t="s">
        <v>4</v>
      </c>
      <c r="D1188" s="8" t="s">
        <v>5</v>
      </c>
      <c r="E1188" s="8" t="s">
        <v>6</v>
      </c>
      <c r="F1188" s="9" t="s">
        <v>7</v>
      </c>
      <c r="G1188" s="9" t="s">
        <v>8</v>
      </c>
      <c r="H1188" s="9" t="s">
        <v>9</v>
      </c>
      <c r="I1188" s="10" t="s">
        <v>10</v>
      </c>
      <c r="J1188" s="10" t="s">
        <v>11</v>
      </c>
      <c r="K1188" s="11" t="s">
        <v>12</v>
      </c>
      <c r="L1188" s="10" t="s">
        <v>13</v>
      </c>
      <c r="M1188" s="11" t="s">
        <v>14</v>
      </c>
      <c r="N1188" s="12" t="s">
        <v>15</v>
      </c>
      <c r="O1188" s="57" t="s">
        <v>16</v>
      </c>
      <c r="P1188" s="57" t="s">
        <v>17</v>
      </c>
      <c r="Q1188" s="54"/>
      <c r="R1188" s="52"/>
      <c r="S1188" s="1"/>
      <c r="T1188" s="1"/>
      <c r="U1188" s="1"/>
    </row>
    <row r="1189" spans="1:21" x14ac:dyDescent="0.3">
      <c r="A1189" s="1"/>
      <c r="B1189" s="56"/>
      <c r="C1189" s="56"/>
      <c r="D1189" s="13" t="s">
        <v>18</v>
      </c>
      <c r="E1189" s="13" t="s">
        <v>18</v>
      </c>
      <c r="F1189" s="13" t="s">
        <v>18</v>
      </c>
      <c r="G1189" s="13" t="s">
        <v>18</v>
      </c>
      <c r="H1189" s="13" t="s">
        <v>18</v>
      </c>
      <c r="I1189" s="13" t="s">
        <v>18</v>
      </c>
      <c r="J1189" s="13" t="s">
        <v>18</v>
      </c>
      <c r="K1189" s="13" t="s">
        <v>18</v>
      </c>
      <c r="L1189" s="13" t="s">
        <v>18</v>
      </c>
      <c r="M1189" s="13" t="s">
        <v>18</v>
      </c>
      <c r="N1189" s="14" t="s">
        <v>29</v>
      </c>
      <c r="O1189" s="58"/>
      <c r="P1189" s="58"/>
      <c r="Q1189" s="54"/>
      <c r="R1189" s="52"/>
      <c r="S1189" s="1"/>
      <c r="T1189" s="1"/>
      <c r="U1189" s="1"/>
    </row>
    <row r="1190" spans="1:21" x14ac:dyDescent="0.3">
      <c r="A1190" s="1"/>
      <c r="B1190" s="59" t="s">
        <v>20</v>
      </c>
      <c r="C1190" s="60"/>
      <c r="D1190" s="16">
        <v>0.1</v>
      </c>
      <c r="E1190" s="16">
        <v>0.05</v>
      </c>
      <c r="F1190" s="16">
        <v>0.1</v>
      </c>
      <c r="G1190" s="16">
        <v>0.1</v>
      </c>
      <c r="H1190" s="16">
        <v>0.05</v>
      </c>
      <c r="I1190" s="17">
        <v>0.1</v>
      </c>
      <c r="J1190" s="17">
        <v>0.35</v>
      </c>
      <c r="K1190" s="17">
        <v>0.08</v>
      </c>
      <c r="L1190" s="17">
        <v>0.02</v>
      </c>
      <c r="M1190" s="17">
        <v>0.05</v>
      </c>
      <c r="N1190" s="19">
        <v>1</v>
      </c>
      <c r="O1190" s="20"/>
      <c r="P1190" s="22"/>
      <c r="Q1190" s="54"/>
      <c r="R1190" s="52"/>
      <c r="S1190" s="1"/>
      <c r="T1190" s="1"/>
      <c r="U1190" s="1"/>
    </row>
    <row r="1191" spans="1:21" ht="18" x14ac:dyDescent="0.3">
      <c r="A1191" s="1"/>
      <c r="B1191" s="23">
        <v>1</v>
      </c>
      <c r="C1191" s="24" t="s">
        <v>587</v>
      </c>
      <c r="D1191" s="25">
        <v>0.98</v>
      </c>
      <c r="E1191" s="25">
        <v>0.98</v>
      </c>
      <c r="F1191" s="25">
        <v>1</v>
      </c>
      <c r="G1191" s="25">
        <v>0.69640000000000002</v>
      </c>
      <c r="H1191" s="25">
        <v>0</v>
      </c>
      <c r="I1191" s="25">
        <v>0.98819999999999997</v>
      </c>
      <c r="J1191" s="25">
        <v>1</v>
      </c>
      <c r="K1191" s="25">
        <v>0.5</v>
      </c>
      <c r="L1191" s="26">
        <v>1</v>
      </c>
      <c r="M1191" s="26">
        <v>0.5</v>
      </c>
      <c r="N1191" s="27">
        <v>0.85050000000000003</v>
      </c>
      <c r="O1191" s="28">
        <v>0</v>
      </c>
      <c r="P1191" s="27">
        <v>0.85050000000000003</v>
      </c>
      <c r="Q1191" s="54"/>
      <c r="R1191" s="52"/>
      <c r="S1191" s="1"/>
      <c r="T1191" s="1"/>
      <c r="U1191" s="1"/>
    </row>
    <row r="1192" spans="1:21" ht="18" x14ac:dyDescent="0.3">
      <c r="A1192" s="1"/>
      <c r="B1192" s="23">
        <v>2</v>
      </c>
      <c r="C1192" s="24" t="s">
        <v>588</v>
      </c>
      <c r="D1192" s="25">
        <v>1</v>
      </c>
      <c r="E1192" s="25">
        <v>1</v>
      </c>
      <c r="F1192" s="25">
        <v>1</v>
      </c>
      <c r="G1192" s="25">
        <v>1</v>
      </c>
      <c r="H1192" s="25">
        <v>1</v>
      </c>
      <c r="I1192" s="25">
        <v>1</v>
      </c>
      <c r="J1192" s="25">
        <v>1</v>
      </c>
      <c r="K1192" s="25">
        <v>0.5</v>
      </c>
      <c r="L1192" s="26">
        <v>0</v>
      </c>
      <c r="M1192" s="26">
        <v>1</v>
      </c>
      <c r="N1192" s="27">
        <v>0.94</v>
      </c>
      <c r="O1192" s="28">
        <v>0</v>
      </c>
      <c r="P1192" s="27">
        <v>0.94</v>
      </c>
      <c r="Q1192" s="54"/>
      <c r="R1192" s="52"/>
      <c r="S1192" s="1"/>
      <c r="T1192" s="1"/>
      <c r="U1192" s="1"/>
    </row>
    <row r="1193" spans="1:21" ht="18" x14ac:dyDescent="0.3">
      <c r="A1193" s="1"/>
      <c r="B1193" s="23">
        <v>3</v>
      </c>
      <c r="C1193" s="24" t="s">
        <v>589</v>
      </c>
      <c r="D1193" s="25">
        <v>1</v>
      </c>
      <c r="E1193" s="25">
        <v>1</v>
      </c>
      <c r="F1193" s="25">
        <v>0.99490000000000001</v>
      </c>
      <c r="G1193" s="25">
        <v>0.95689999999999997</v>
      </c>
      <c r="H1193" s="25">
        <v>1</v>
      </c>
      <c r="I1193" s="25">
        <v>0.99590000000000001</v>
      </c>
      <c r="J1193" s="25">
        <v>0.8</v>
      </c>
      <c r="K1193" s="25">
        <v>0</v>
      </c>
      <c r="L1193" s="26">
        <v>0</v>
      </c>
      <c r="M1193" s="26">
        <v>0.75</v>
      </c>
      <c r="N1193" s="27">
        <v>0.81230000000000002</v>
      </c>
      <c r="O1193" s="28">
        <v>0</v>
      </c>
      <c r="P1193" s="27">
        <v>0.81230000000000002</v>
      </c>
      <c r="Q1193" s="54"/>
      <c r="R1193" s="52"/>
      <c r="S1193" s="1"/>
      <c r="T1193" s="1"/>
      <c r="U1193" s="1"/>
    </row>
    <row r="1194" spans="1:21" ht="18" x14ac:dyDescent="0.3">
      <c r="A1194" s="1"/>
      <c r="B1194" s="23">
        <v>4</v>
      </c>
      <c r="C1194" s="24" t="s">
        <v>590</v>
      </c>
      <c r="D1194" s="25">
        <v>1</v>
      </c>
      <c r="E1194" s="25">
        <v>1</v>
      </c>
      <c r="F1194" s="25">
        <v>1</v>
      </c>
      <c r="G1194" s="25">
        <v>1</v>
      </c>
      <c r="H1194" s="25">
        <v>1</v>
      </c>
      <c r="I1194" s="25">
        <v>1</v>
      </c>
      <c r="J1194" s="25">
        <v>1</v>
      </c>
      <c r="K1194" s="25">
        <v>0.5</v>
      </c>
      <c r="L1194" s="26">
        <v>1</v>
      </c>
      <c r="M1194" s="26">
        <v>0.5</v>
      </c>
      <c r="N1194" s="27">
        <v>0.93500000000000005</v>
      </c>
      <c r="O1194" s="28">
        <v>0</v>
      </c>
      <c r="P1194" s="27">
        <v>0.93500000000000005</v>
      </c>
      <c r="Q1194" s="54"/>
      <c r="R1194" s="52"/>
      <c r="S1194" s="1"/>
      <c r="T1194" s="1"/>
      <c r="U1194" s="1"/>
    </row>
    <row r="1195" spans="1:21" ht="18" x14ac:dyDescent="0.3">
      <c r="A1195" s="1"/>
      <c r="B1195" s="23"/>
      <c r="C1195" s="24" t="s">
        <v>591</v>
      </c>
      <c r="D1195" s="25">
        <v>1</v>
      </c>
      <c r="E1195" s="25">
        <v>1</v>
      </c>
      <c r="F1195" s="25">
        <v>1</v>
      </c>
      <c r="G1195" s="25">
        <v>0.91249999999999998</v>
      </c>
      <c r="H1195" s="25">
        <v>1</v>
      </c>
      <c r="I1195" s="25">
        <v>0.98</v>
      </c>
      <c r="J1195" s="25">
        <v>0.8</v>
      </c>
      <c r="K1195" s="25">
        <v>0.5</v>
      </c>
      <c r="L1195" s="26">
        <v>1</v>
      </c>
      <c r="M1195" s="26">
        <v>0.5</v>
      </c>
      <c r="N1195" s="27">
        <v>0.85419999999999996</v>
      </c>
      <c r="O1195" s="28">
        <v>0</v>
      </c>
      <c r="P1195" s="27">
        <v>0.85419999999999996</v>
      </c>
      <c r="Q1195" s="54"/>
      <c r="R1195" s="52"/>
      <c r="S1195" s="1"/>
      <c r="T1195" s="1"/>
      <c r="U1195" s="1"/>
    </row>
    <row r="1196" spans="1:21" ht="18" x14ac:dyDescent="0.3">
      <c r="A1196" s="1"/>
      <c r="B1196" s="23">
        <v>5</v>
      </c>
      <c r="C1196" s="24" t="s">
        <v>592</v>
      </c>
      <c r="D1196" s="25">
        <v>1</v>
      </c>
      <c r="E1196" s="25">
        <v>1</v>
      </c>
      <c r="F1196" s="25">
        <v>1</v>
      </c>
      <c r="G1196" s="25">
        <v>1</v>
      </c>
      <c r="H1196" s="25">
        <v>1</v>
      </c>
      <c r="I1196" s="25">
        <v>0.99329999999999996</v>
      </c>
      <c r="J1196" s="25">
        <v>1</v>
      </c>
      <c r="K1196" s="25">
        <v>0.5</v>
      </c>
      <c r="L1196" s="26">
        <v>0</v>
      </c>
      <c r="M1196" s="26">
        <v>0.5</v>
      </c>
      <c r="N1196" s="27">
        <v>0.9143</v>
      </c>
      <c r="O1196" s="28">
        <v>0</v>
      </c>
      <c r="P1196" s="27">
        <v>0.9143</v>
      </c>
      <c r="Q1196" s="54"/>
      <c r="R1196" s="52"/>
      <c r="S1196" s="1"/>
      <c r="T1196" s="1"/>
      <c r="U1196" s="1"/>
    </row>
    <row r="1197" spans="1:21" x14ac:dyDescent="0.3">
      <c r="A1197" s="1"/>
      <c r="B1197" s="59" t="s">
        <v>27</v>
      </c>
      <c r="C1197" s="60"/>
      <c r="D1197" s="31">
        <v>1</v>
      </c>
      <c r="E1197" s="31">
        <v>1</v>
      </c>
      <c r="F1197" s="31">
        <v>1</v>
      </c>
      <c r="G1197" s="31">
        <v>0.93</v>
      </c>
      <c r="H1197" s="31">
        <v>0.83</v>
      </c>
      <c r="I1197" s="31">
        <v>0.99</v>
      </c>
      <c r="J1197" s="31">
        <v>0.93</v>
      </c>
      <c r="K1197" s="31">
        <v>0.42</v>
      </c>
      <c r="L1197" s="31">
        <v>0.5</v>
      </c>
      <c r="M1197" s="31">
        <v>0.63</v>
      </c>
      <c r="N1197" s="31">
        <v>0.89</v>
      </c>
      <c r="O1197" s="31">
        <v>0</v>
      </c>
      <c r="P1197" s="31">
        <v>0.88</v>
      </c>
      <c r="Q1197" s="54"/>
      <c r="R1197" s="52"/>
      <c r="S1197" s="1"/>
      <c r="T1197" s="1"/>
      <c r="U1197" s="1"/>
    </row>
    <row r="1198" spans="1:21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52"/>
      <c r="R1198" s="52"/>
      <c r="S1198" s="1"/>
      <c r="T1198" s="1"/>
      <c r="U1198" s="1"/>
    </row>
    <row r="1199" spans="1:21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52"/>
      <c r="R1199" s="52"/>
      <c r="S1199" s="1"/>
      <c r="T1199" s="1"/>
      <c r="U1199" s="1"/>
    </row>
    <row r="1200" spans="1:21" ht="15.6" x14ac:dyDescent="0.3">
      <c r="A1200" s="1"/>
      <c r="B1200" s="3"/>
      <c r="C1200" s="4" t="s">
        <v>593</v>
      </c>
      <c r="D1200" s="3"/>
      <c r="E1200" s="3"/>
      <c r="F1200" s="3"/>
      <c r="G1200" s="3"/>
      <c r="H1200" s="3"/>
      <c r="I1200" s="3"/>
      <c r="J1200" s="3"/>
      <c r="K1200" s="3"/>
      <c r="L1200" s="1"/>
      <c r="M1200" s="1"/>
      <c r="N1200" s="1"/>
      <c r="O1200" s="1"/>
      <c r="P1200" s="5" t="s">
        <v>2</v>
      </c>
      <c r="Q1200" s="54"/>
      <c r="R1200" s="52"/>
      <c r="S1200" s="1"/>
      <c r="T1200" s="1"/>
      <c r="U1200" s="1"/>
    </row>
    <row r="1201" spans="1:21" ht="15.6" x14ac:dyDescent="0.3">
      <c r="A1201" s="1"/>
      <c r="B1201" s="3"/>
      <c r="C1201" s="6">
        <v>46174</v>
      </c>
      <c r="D1201" s="3"/>
      <c r="E1201" s="3"/>
      <c r="F1201" s="3"/>
      <c r="G1201" s="3"/>
      <c r="H1201" s="3"/>
      <c r="I1201" s="3"/>
      <c r="J1201" s="3"/>
      <c r="K1201" s="3"/>
      <c r="L1201" s="1"/>
      <c r="M1201" s="1"/>
      <c r="N1201" s="1"/>
      <c r="O1201" s="1"/>
      <c r="P1201" s="7">
        <v>0.87</v>
      </c>
      <c r="Q1201" s="54"/>
      <c r="R1201" s="52"/>
      <c r="S1201" s="1"/>
      <c r="T1201" s="1"/>
      <c r="U1201" s="1"/>
    </row>
    <row r="1202" spans="1:21" ht="42" x14ac:dyDescent="0.3">
      <c r="A1202" s="1"/>
      <c r="B1202" s="55" t="s">
        <v>3</v>
      </c>
      <c r="C1202" s="55" t="s">
        <v>4</v>
      </c>
      <c r="D1202" s="8" t="s">
        <v>5</v>
      </c>
      <c r="E1202" s="8" t="s">
        <v>6</v>
      </c>
      <c r="F1202" s="9" t="s">
        <v>7</v>
      </c>
      <c r="G1202" s="9" t="s">
        <v>8</v>
      </c>
      <c r="H1202" s="9" t="s">
        <v>9</v>
      </c>
      <c r="I1202" s="10" t="s">
        <v>10</v>
      </c>
      <c r="J1202" s="10" t="s">
        <v>11</v>
      </c>
      <c r="K1202" s="11" t="s">
        <v>12</v>
      </c>
      <c r="L1202" s="10" t="s">
        <v>13</v>
      </c>
      <c r="M1202" s="11" t="s">
        <v>14</v>
      </c>
      <c r="N1202" s="12" t="s">
        <v>15</v>
      </c>
      <c r="O1202" s="57" t="s">
        <v>16</v>
      </c>
      <c r="P1202" s="57" t="s">
        <v>17</v>
      </c>
      <c r="Q1202" s="54"/>
      <c r="R1202" s="52"/>
      <c r="S1202" s="1"/>
      <c r="T1202" s="1"/>
      <c r="U1202" s="1"/>
    </row>
    <row r="1203" spans="1:21" x14ac:dyDescent="0.3">
      <c r="A1203" s="1"/>
      <c r="B1203" s="56"/>
      <c r="C1203" s="56"/>
      <c r="D1203" s="13" t="s">
        <v>18</v>
      </c>
      <c r="E1203" s="13" t="s">
        <v>18</v>
      </c>
      <c r="F1203" s="13" t="s">
        <v>18</v>
      </c>
      <c r="G1203" s="13" t="s">
        <v>18</v>
      </c>
      <c r="H1203" s="13" t="s">
        <v>18</v>
      </c>
      <c r="I1203" s="13" t="s">
        <v>18</v>
      </c>
      <c r="J1203" s="13" t="s">
        <v>18</v>
      </c>
      <c r="K1203" s="13" t="s">
        <v>18</v>
      </c>
      <c r="L1203" s="13" t="s">
        <v>18</v>
      </c>
      <c r="M1203" s="13" t="s">
        <v>18</v>
      </c>
      <c r="N1203" s="14" t="s">
        <v>29</v>
      </c>
      <c r="O1203" s="58"/>
      <c r="P1203" s="58"/>
      <c r="Q1203" s="54"/>
      <c r="R1203" s="52"/>
      <c r="S1203" s="1"/>
      <c r="T1203" s="1"/>
      <c r="U1203" s="1"/>
    </row>
    <row r="1204" spans="1:21" x14ac:dyDescent="0.3">
      <c r="A1204" s="1"/>
      <c r="B1204" s="59" t="s">
        <v>20</v>
      </c>
      <c r="C1204" s="60"/>
      <c r="D1204" s="16">
        <v>0.1</v>
      </c>
      <c r="E1204" s="16">
        <v>0.05</v>
      </c>
      <c r="F1204" s="16">
        <v>0.1</v>
      </c>
      <c r="G1204" s="16">
        <v>0.1</v>
      </c>
      <c r="H1204" s="16">
        <v>0.05</v>
      </c>
      <c r="I1204" s="17">
        <v>0.1</v>
      </c>
      <c r="J1204" s="17">
        <v>0.35</v>
      </c>
      <c r="K1204" s="17">
        <v>0.08</v>
      </c>
      <c r="L1204" s="17">
        <v>0.02</v>
      </c>
      <c r="M1204" s="17">
        <v>0.05</v>
      </c>
      <c r="N1204" s="19">
        <v>1</v>
      </c>
      <c r="O1204" s="20"/>
      <c r="P1204" s="22"/>
      <c r="Q1204" s="54"/>
      <c r="R1204" s="52"/>
      <c r="S1204" s="1"/>
      <c r="T1204" s="1"/>
      <c r="U1204" s="1"/>
    </row>
    <row r="1205" spans="1:21" ht="18" x14ac:dyDescent="0.3">
      <c r="A1205" s="1"/>
      <c r="B1205" s="23">
        <v>1</v>
      </c>
      <c r="C1205" s="24" t="s">
        <v>594</v>
      </c>
      <c r="D1205" s="25">
        <v>0.98</v>
      </c>
      <c r="E1205" s="25">
        <v>1</v>
      </c>
      <c r="F1205" s="25">
        <v>1</v>
      </c>
      <c r="G1205" s="25">
        <v>1</v>
      </c>
      <c r="H1205" s="25">
        <v>1</v>
      </c>
      <c r="I1205" s="25">
        <v>1</v>
      </c>
      <c r="J1205" s="25">
        <v>0.8</v>
      </c>
      <c r="K1205" s="25">
        <v>1</v>
      </c>
      <c r="L1205" s="26">
        <v>1</v>
      </c>
      <c r="M1205" s="26">
        <v>0.5</v>
      </c>
      <c r="N1205" s="27">
        <v>0.90300000000000002</v>
      </c>
      <c r="O1205" s="28">
        <v>0</v>
      </c>
      <c r="P1205" s="27">
        <v>0.90300000000000002</v>
      </c>
      <c r="Q1205" s="54"/>
      <c r="R1205" s="52"/>
      <c r="S1205" s="1"/>
      <c r="T1205" s="1"/>
      <c r="U1205" s="1"/>
    </row>
    <row r="1206" spans="1:21" ht="18" x14ac:dyDescent="0.3">
      <c r="A1206" s="1"/>
      <c r="B1206" s="23">
        <v>2</v>
      </c>
      <c r="C1206" s="24" t="s">
        <v>595</v>
      </c>
      <c r="D1206" s="25">
        <v>0.98</v>
      </c>
      <c r="E1206" s="25">
        <v>1</v>
      </c>
      <c r="F1206" s="25">
        <v>1</v>
      </c>
      <c r="G1206" s="25">
        <v>0.8337</v>
      </c>
      <c r="H1206" s="25">
        <v>0</v>
      </c>
      <c r="I1206" s="25">
        <v>0.99580000000000002</v>
      </c>
      <c r="J1206" s="25">
        <v>0.8</v>
      </c>
      <c r="K1206" s="25">
        <v>1</v>
      </c>
      <c r="L1206" s="26">
        <v>0</v>
      </c>
      <c r="M1206" s="26">
        <v>0.75</v>
      </c>
      <c r="N1206" s="27">
        <v>0.82850000000000001</v>
      </c>
      <c r="O1206" s="28">
        <v>0</v>
      </c>
      <c r="P1206" s="27">
        <v>0.82850000000000001</v>
      </c>
      <c r="Q1206" s="54"/>
      <c r="R1206" s="52"/>
      <c r="S1206" s="1"/>
      <c r="T1206" s="1"/>
      <c r="U1206" s="1"/>
    </row>
    <row r="1207" spans="1:21" ht="18" x14ac:dyDescent="0.3">
      <c r="A1207" s="1"/>
      <c r="B1207" s="23">
        <v>3</v>
      </c>
      <c r="C1207" s="24" t="s">
        <v>596</v>
      </c>
      <c r="D1207" s="25">
        <v>0.98</v>
      </c>
      <c r="E1207" s="25">
        <v>0.98</v>
      </c>
      <c r="F1207" s="25">
        <v>1</v>
      </c>
      <c r="G1207" s="25">
        <v>1</v>
      </c>
      <c r="H1207" s="25">
        <v>1</v>
      </c>
      <c r="I1207" s="25">
        <v>0.98140000000000005</v>
      </c>
      <c r="J1207" s="25">
        <v>0.8</v>
      </c>
      <c r="K1207" s="25">
        <v>0.5</v>
      </c>
      <c r="L1207" s="26">
        <v>0</v>
      </c>
      <c r="M1207" s="26">
        <v>0.5</v>
      </c>
      <c r="N1207" s="27">
        <v>0.84009999999999996</v>
      </c>
      <c r="O1207" s="28">
        <v>0</v>
      </c>
      <c r="P1207" s="27">
        <v>0.84009999999999996</v>
      </c>
      <c r="Q1207" s="54"/>
      <c r="R1207" s="52"/>
      <c r="S1207" s="1"/>
      <c r="T1207" s="1"/>
      <c r="U1207" s="1"/>
    </row>
    <row r="1208" spans="1:21" ht="18" x14ac:dyDescent="0.3">
      <c r="A1208" s="1"/>
      <c r="B1208" s="23">
        <v>4</v>
      </c>
      <c r="C1208" s="24" t="s">
        <v>597</v>
      </c>
      <c r="D1208" s="25">
        <v>0.98</v>
      </c>
      <c r="E1208" s="25">
        <v>0.99</v>
      </c>
      <c r="F1208" s="25">
        <v>0.99750000000000005</v>
      </c>
      <c r="G1208" s="25">
        <v>1</v>
      </c>
      <c r="H1208" s="25">
        <v>1</v>
      </c>
      <c r="I1208" s="25">
        <v>0.99529999999999996</v>
      </c>
      <c r="J1208" s="25">
        <v>0.8</v>
      </c>
      <c r="K1208" s="25">
        <v>0.5</v>
      </c>
      <c r="L1208" s="26">
        <v>0</v>
      </c>
      <c r="M1208" s="26">
        <v>0.75</v>
      </c>
      <c r="N1208" s="27">
        <v>0.85429999999999995</v>
      </c>
      <c r="O1208" s="28">
        <v>0</v>
      </c>
      <c r="P1208" s="27">
        <v>0.85429999999999995</v>
      </c>
      <c r="Q1208" s="54"/>
      <c r="R1208" s="52"/>
      <c r="S1208" s="1"/>
      <c r="T1208" s="1"/>
      <c r="U1208" s="1"/>
    </row>
    <row r="1209" spans="1:21" ht="18" x14ac:dyDescent="0.3">
      <c r="A1209" s="1"/>
      <c r="B1209" s="23">
        <v>5</v>
      </c>
      <c r="C1209" s="24" t="s">
        <v>598</v>
      </c>
      <c r="D1209" s="25">
        <v>1</v>
      </c>
      <c r="E1209" s="25">
        <v>1</v>
      </c>
      <c r="F1209" s="25">
        <v>0.99319999999999997</v>
      </c>
      <c r="G1209" s="25">
        <v>1</v>
      </c>
      <c r="H1209" s="25">
        <v>1</v>
      </c>
      <c r="I1209" s="25">
        <v>0.99329999999999996</v>
      </c>
      <c r="J1209" s="25">
        <v>0.8</v>
      </c>
      <c r="K1209" s="25">
        <v>1</v>
      </c>
      <c r="L1209" s="26">
        <v>0</v>
      </c>
      <c r="M1209" s="26">
        <v>1</v>
      </c>
      <c r="N1209" s="27">
        <v>0.90869999999999995</v>
      </c>
      <c r="O1209" s="28">
        <v>0</v>
      </c>
      <c r="P1209" s="27">
        <v>0.90869999999999995</v>
      </c>
      <c r="Q1209" s="54"/>
      <c r="R1209" s="52"/>
      <c r="S1209" s="1"/>
      <c r="T1209" s="1"/>
      <c r="U1209" s="1"/>
    </row>
    <row r="1210" spans="1:21" x14ac:dyDescent="0.3">
      <c r="A1210" s="1"/>
      <c r="B1210" s="59" t="s">
        <v>27</v>
      </c>
      <c r="C1210" s="60"/>
      <c r="D1210" s="31">
        <v>0.98</v>
      </c>
      <c r="E1210" s="31">
        <v>0.99</v>
      </c>
      <c r="F1210" s="31">
        <v>1</v>
      </c>
      <c r="G1210" s="31">
        <v>0.97</v>
      </c>
      <c r="H1210" s="31">
        <v>0.8</v>
      </c>
      <c r="I1210" s="31">
        <v>0.99</v>
      </c>
      <c r="J1210" s="31">
        <v>0.8</v>
      </c>
      <c r="K1210" s="31">
        <v>0.8</v>
      </c>
      <c r="L1210" s="31">
        <v>0.2</v>
      </c>
      <c r="M1210" s="31">
        <v>0.7</v>
      </c>
      <c r="N1210" s="31">
        <v>0.86</v>
      </c>
      <c r="O1210" s="31">
        <v>0</v>
      </c>
      <c r="P1210" s="31">
        <v>0.87</v>
      </c>
      <c r="Q1210" s="54"/>
      <c r="R1210" s="52"/>
      <c r="S1210" s="1"/>
      <c r="T1210" s="1"/>
      <c r="U1210" s="1"/>
    </row>
    <row r="1211" spans="1:21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52"/>
      <c r="R1211" s="52"/>
      <c r="S1211" s="1"/>
      <c r="T1211" s="1"/>
      <c r="U1211" s="1"/>
    </row>
    <row r="1212" spans="1:21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52"/>
      <c r="R1212" s="52"/>
      <c r="S1212" s="1"/>
      <c r="T1212" s="1"/>
      <c r="U1212" s="1"/>
    </row>
    <row r="1213" spans="1:21" ht="15.6" x14ac:dyDescent="0.3">
      <c r="A1213" s="1"/>
      <c r="B1213" s="3"/>
      <c r="C1213" s="4" t="s">
        <v>599</v>
      </c>
      <c r="D1213" s="3"/>
      <c r="E1213" s="3"/>
      <c r="F1213" s="3"/>
      <c r="G1213" s="3"/>
      <c r="H1213" s="3"/>
      <c r="I1213" s="3"/>
      <c r="J1213" s="3"/>
      <c r="K1213" s="3"/>
      <c r="L1213" s="1"/>
      <c r="M1213" s="1"/>
      <c r="N1213" s="1"/>
      <c r="O1213" s="1"/>
      <c r="P1213" s="5" t="s">
        <v>2</v>
      </c>
      <c r="Q1213" s="54"/>
      <c r="R1213" s="52"/>
      <c r="S1213" s="1"/>
      <c r="T1213" s="1"/>
      <c r="U1213" s="1"/>
    </row>
    <row r="1214" spans="1:21" ht="15.6" x14ac:dyDescent="0.3">
      <c r="A1214" s="1"/>
      <c r="B1214" s="3"/>
      <c r="C1214" s="6">
        <v>46174</v>
      </c>
      <c r="D1214" s="3"/>
      <c r="E1214" s="3"/>
      <c r="F1214" s="3"/>
      <c r="G1214" s="3"/>
      <c r="H1214" s="3"/>
      <c r="I1214" s="3"/>
      <c r="J1214" s="3"/>
      <c r="K1214" s="3"/>
      <c r="L1214" s="1"/>
      <c r="M1214" s="1"/>
      <c r="N1214" s="1"/>
      <c r="O1214" s="1"/>
      <c r="P1214" s="7">
        <v>0.85</v>
      </c>
      <c r="Q1214" s="54"/>
      <c r="R1214" s="52"/>
      <c r="S1214" s="1"/>
      <c r="T1214" s="1"/>
      <c r="U1214" s="1"/>
    </row>
    <row r="1215" spans="1:21" ht="42" x14ac:dyDescent="0.3">
      <c r="A1215" s="1"/>
      <c r="B1215" s="55" t="s">
        <v>3</v>
      </c>
      <c r="C1215" s="55" t="s">
        <v>4</v>
      </c>
      <c r="D1215" s="8" t="s">
        <v>5</v>
      </c>
      <c r="E1215" s="8" t="s">
        <v>6</v>
      </c>
      <c r="F1215" s="9" t="s">
        <v>7</v>
      </c>
      <c r="G1215" s="9" t="s">
        <v>8</v>
      </c>
      <c r="H1215" s="9" t="s">
        <v>9</v>
      </c>
      <c r="I1215" s="10" t="s">
        <v>10</v>
      </c>
      <c r="J1215" s="10" t="s">
        <v>11</v>
      </c>
      <c r="K1215" s="11" t="s">
        <v>12</v>
      </c>
      <c r="L1215" s="10" t="s">
        <v>13</v>
      </c>
      <c r="M1215" s="11" t="s">
        <v>14</v>
      </c>
      <c r="N1215" s="12" t="s">
        <v>15</v>
      </c>
      <c r="O1215" s="57" t="s">
        <v>16</v>
      </c>
      <c r="P1215" s="57" t="s">
        <v>17</v>
      </c>
      <c r="Q1215" s="54"/>
      <c r="R1215" s="52"/>
      <c r="S1215" s="1"/>
      <c r="T1215" s="1"/>
      <c r="U1215" s="1"/>
    </row>
    <row r="1216" spans="1:21" x14ac:dyDescent="0.3">
      <c r="A1216" s="1"/>
      <c r="B1216" s="56"/>
      <c r="C1216" s="56"/>
      <c r="D1216" s="13" t="s">
        <v>18</v>
      </c>
      <c r="E1216" s="13" t="s">
        <v>18</v>
      </c>
      <c r="F1216" s="13" t="s">
        <v>18</v>
      </c>
      <c r="G1216" s="13" t="s">
        <v>18</v>
      </c>
      <c r="H1216" s="13" t="s">
        <v>18</v>
      </c>
      <c r="I1216" s="13" t="s">
        <v>18</v>
      </c>
      <c r="J1216" s="13" t="s">
        <v>18</v>
      </c>
      <c r="K1216" s="13" t="s">
        <v>18</v>
      </c>
      <c r="L1216" s="13" t="s">
        <v>18</v>
      </c>
      <c r="M1216" s="13" t="s">
        <v>18</v>
      </c>
      <c r="N1216" s="14" t="s">
        <v>29</v>
      </c>
      <c r="O1216" s="58"/>
      <c r="P1216" s="58"/>
      <c r="Q1216" s="54"/>
      <c r="R1216" s="52"/>
      <c r="S1216" s="1"/>
      <c r="T1216" s="1"/>
      <c r="U1216" s="1"/>
    </row>
    <row r="1217" spans="1:21" x14ac:dyDescent="0.3">
      <c r="A1217" s="1"/>
      <c r="B1217" s="59" t="s">
        <v>20</v>
      </c>
      <c r="C1217" s="60"/>
      <c r="D1217" s="16">
        <v>0.1</v>
      </c>
      <c r="E1217" s="16">
        <v>0.05</v>
      </c>
      <c r="F1217" s="16">
        <v>0.1</v>
      </c>
      <c r="G1217" s="16">
        <v>0.1</v>
      </c>
      <c r="H1217" s="16">
        <v>0.05</v>
      </c>
      <c r="I1217" s="17">
        <v>0.1</v>
      </c>
      <c r="J1217" s="17">
        <v>0.35</v>
      </c>
      <c r="K1217" s="17">
        <v>0.08</v>
      </c>
      <c r="L1217" s="17">
        <v>0.02</v>
      </c>
      <c r="M1217" s="17">
        <v>0.05</v>
      </c>
      <c r="N1217" s="19">
        <v>1</v>
      </c>
      <c r="O1217" s="20"/>
      <c r="P1217" s="22"/>
      <c r="Q1217" s="54"/>
      <c r="R1217" s="52"/>
      <c r="S1217" s="1"/>
      <c r="T1217" s="1"/>
      <c r="U1217" s="1"/>
    </row>
    <row r="1218" spans="1:21" ht="18" x14ac:dyDescent="0.3">
      <c r="A1218" s="1"/>
      <c r="B1218" s="23">
        <v>1</v>
      </c>
      <c r="C1218" s="24" t="s">
        <v>600</v>
      </c>
      <c r="D1218" s="25">
        <v>1</v>
      </c>
      <c r="E1218" s="25">
        <v>1</v>
      </c>
      <c r="F1218" s="25">
        <v>1</v>
      </c>
      <c r="G1218" s="25">
        <v>1</v>
      </c>
      <c r="H1218" s="25">
        <v>1</v>
      </c>
      <c r="I1218" s="25">
        <v>1</v>
      </c>
      <c r="J1218" s="25">
        <v>0.8</v>
      </c>
      <c r="K1218" s="25">
        <v>0</v>
      </c>
      <c r="L1218" s="26">
        <v>0</v>
      </c>
      <c r="M1218" s="26">
        <v>1</v>
      </c>
      <c r="N1218" s="27">
        <v>0.83</v>
      </c>
      <c r="O1218" s="28">
        <v>0</v>
      </c>
      <c r="P1218" s="27">
        <v>0.83</v>
      </c>
      <c r="Q1218" s="54"/>
      <c r="R1218" s="52"/>
      <c r="S1218" s="1"/>
      <c r="T1218" s="1"/>
      <c r="U1218" s="1"/>
    </row>
    <row r="1219" spans="1:21" ht="18" x14ac:dyDescent="0.3">
      <c r="A1219" s="1"/>
      <c r="B1219" s="23">
        <v>2</v>
      </c>
      <c r="C1219" s="24" t="s">
        <v>601</v>
      </c>
      <c r="D1219" s="25">
        <v>1</v>
      </c>
      <c r="E1219" s="25">
        <v>1</v>
      </c>
      <c r="F1219" s="25">
        <v>1</v>
      </c>
      <c r="G1219" s="25">
        <v>0.82679999999999998</v>
      </c>
      <c r="H1219" s="25">
        <v>0</v>
      </c>
      <c r="I1219" s="25">
        <v>0.99399999999999999</v>
      </c>
      <c r="J1219" s="25">
        <v>0.8</v>
      </c>
      <c r="K1219" s="25">
        <v>0.5</v>
      </c>
      <c r="L1219" s="26">
        <v>0</v>
      </c>
      <c r="M1219" s="26">
        <v>1</v>
      </c>
      <c r="N1219" s="27">
        <v>0.80210000000000004</v>
      </c>
      <c r="O1219" s="28">
        <v>0</v>
      </c>
      <c r="P1219" s="27">
        <v>0.80210000000000004</v>
      </c>
      <c r="Q1219" s="54"/>
      <c r="R1219" s="52"/>
      <c r="S1219" s="1"/>
      <c r="T1219" s="1"/>
      <c r="U1219" s="1"/>
    </row>
    <row r="1220" spans="1:21" ht="18" x14ac:dyDescent="0.3">
      <c r="A1220" s="1"/>
      <c r="B1220" s="23">
        <v>3</v>
      </c>
      <c r="C1220" s="24" t="s">
        <v>602</v>
      </c>
      <c r="D1220" s="25">
        <v>0.96</v>
      </c>
      <c r="E1220" s="25">
        <v>1</v>
      </c>
      <c r="F1220" s="25">
        <v>1</v>
      </c>
      <c r="G1220" s="25">
        <v>1</v>
      </c>
      <c r="H1220" s="25">
        <v>1</v>
      </c>
      <c r="I1220" s="25">
        <v>0.99870000000000003</v>
      </c>
      <c r="J1220" s="25">
        <v>0.8</v>
      </c>
      <c r="K1220" s="25">
        <v>1</v>
      </c>
      <c r="L1220" s="26">
        <v>0</v>
      </c>
      <c r="M1220" s="26">
        <v>0.5</v>
      </c>
      <c r="N1220" s="27">
        <v>0.88090000000000002</v>
      </c>
      <c r="O1220" s="28">
        <v>0</v>
      </c>
      <c r="P1220" s="27">
        <v>0.88090000000000002</v>
      </c>
      <c r="Q1220" s="54"/>
      <c r="R1220" s="52"/>
      <c r="S1220" s="1"/>
      <c r="T1220" s="1"/>
      <c r="U1220" s="1"/>
    </row>
    <row r="1221" spans="1:21" ht="18" x14ac:dyDescent="0.3">
      <c r="A1221" s="1"/>
      <c r="B1221" s="23">
        <v>4</v>
      </c>
      <c r="C1221" s="24" t="s">
        <v>603</v>
      </c>
      <c r="D1221" s="25">
        <v>0.92</v>
      </c>
      <c r="E1221" s="25">
        <v>1</v>
      </c>
      <c r="F1221" s="25">
        <v>1</v>
      </c>
      <c r="G1221" s="25">
        <v>1</v>
      </c>
      <c r="H1221" s="25">
        <v>1</v>
      </c>
      <c r="I1221" s="25">
        <v>1</v>
      </c>
      <c r="J1221" s="25">
        <v>1</v>
      </c>
      <c r="K1221" s="25">
        <v>1</v>
      </c>
      <c r="L1221" s="26">
        <v>0</v>
      </c>
      <c r="M1221" s="26">
        <v>1</v>
      </c>
      <c r="N1221" s="27">
        <v>0.97199999999999998</v>
      </c>
      <c r="O1221" s="28">
        <v>0</v>
      </c>
      <c r="P1221" s="27">
        <v>0.97199999999999998</v>
      </c>
      <c r="Q1221" s="54"/>
      <c r="R1221" s="52"/>
      <c r="S1221" s="1"/>
      <c r="T1221" s="1"/>
      <c r="U1221" s="1"/>
    </row>
    <row r="1222" spans="1:21" ht="18" x14ac:dyDescent="0.3">
      <c r="A1222" s="1"/>
      <c r="B1222" s="23">
        <v>5</v>
      </c>
      <c r="C1222" s="24" t="s">
        <v>604</v>
      </c>
      <c r="D1222" s="25">
        <v>0.98</v>
      </c>
      <c r="E1222" s="25">
        <v>1</v>
      </c>
      <c r="F1222" s="25">
        <v>1</v>
      </c>
      <c r="G1222" s="25">
        <v>0.84450000000000003</v>
      </c>
      <c r="H1222" s="25">
        <v>0</v>
      </c>
      <c r="I1222" s="25">
        <v>1</v>
      </c>
      <c r="J1222" s="25">
        <v>0.8</v>
      </c>
      <c r="K1222" s="25">
        <v>0</v>
      </c>
      <c r="L1222" s="26">
        <v>0</v>
      </c>
      <c r="M1222" s="26">
        <v>1</v>
      </c>
      <c r="N1222" s="27">
        <v>0.76249999999999996</v>
      </c>
      <c r="O1222" s="28">
        <v>0</v>
      </c>
      <c r="P1222" s="27">
        <v>0.76249999999999996</v>
      </c>
      <c r="Q1222" s="54"/>
      <c r="R1222" s="52"/>
      <c r="S1222" s="1"/>
      <c r="T1222" s="1"/>
      <c r="U1222" s="1"/>
    </row>
    <row r="1223" spans="1:21" x14ac:dyDescent="0.3">
      <c r="A1223" s="1"/>
      <c r="B1223" s="59" t="s">
        <v>27</v>
      </c>
      <c r="C1223" s="60"/>
      <c r="D1223" s="31">
        <v>0.97</v>
      </c>
      <c r="E1223" s="31">
        <v>1</v>
      </c>
      <c r="F1223" s="31">
        <v>1</v>
      </c>
      <c r="G1223" s="31">
        <v>0.93</v>
      </c>
      <c r="H1223" s="31">
        <v>0.6</v>
      </c>
      <c r="I1223" s="31">
        <v>1</v>
      </c>
      <c r="J1223" s="31">
        <v>0.84</v>
      </c>
      <c r="K1223" s="31">
        <v>0.5</v>
      </c>
      <c r="L1223" s="31">
        <v>0</v>
      </c>
      <c r="M1223" s="31">
        <v>0.9</v>
      </c>
      <c r="N1223" s="31">
        <v>0.85</v>
      </c>
      <c r="O1223" s="31">
        <v>0</v>
      </c>
      <c r="P1223" s="31">
        <v>0.85</v>
      </c>
      <c r="Q1223" s="54"/>
      <c r="R1223" s="52"/>
      <c r="S1223" s="1"/>
      <c r="T1223" s="1"/>
      <c r="U1223" s="1"/>
    </row>
    <row r="1224" spans="1:21" x14ac:dyDescent="0.3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52"/>
      <c r="R1224" s="52"/>
      <c r="S1224" s="1"/>
      <c r="T1224" s="1"/>
      <c r="U1224" s="1"/>
    </row>
    <row r="1225" spans="1:21" x14ac:dyDescent="0.3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52"/>
      <c r="R1225" s="52"/>
      <c r="S1225" s="1"/>
      <c r="T1225" s="1"/>
      <c r="U1225" s="1"/>
    </row>
    <row r="1226" spans="1:21" ht="15.6" x14ac:dyDescent="0.3">
      <c r="A1226" s="1"/>
      <c r="B1226" s="3"/>
      <c r="C1226" s="4" t="s">
        <v>605</v>
      </c>
      <c r="D1226" s="3"/>
      <c r="E1226" s="3"/>
      <c r="F1226" s="3"/>
      <c r="G1226" s="3"/>
      <c r="H1226" s="3"/>
      <c r="I1226" s="3"/>
      <c r="J1226" s="3"/>
      <c r="K1226" s="3"/>
      <c r="L1226" s="1"/>
      <c r="M1226" s="1"/>
      <c r="N1226" s="1"/>
      <c r="O1226" s="1"/>
      <c r="P1226" s="5" t="s">
        <v>2</v>
      </c>
      <c r="Q1226" s="54"/>
      <c r="R1226" s="52"/>
      <c r="S1226" s="1"/>
      <c r="T1226" s="1"/>
      <c r="U1226" s="1"/>
    </row>
    <row r="1227" spans="1:21" ht="15.6" x14ac:dyDescent="0.3">
      <c r="A1227" s="1"/>
      <c r="B1227" s="3"/>
      <c r="C1227" s="6">
        <v>46174</v>
      </c>
      <c r="D1227" s="3"/>
      <c r="E1227" s="3"/>
      <c r="F1227" s="3"/>
      <c r="G1227" s="3"/>
      <c r="H1227" s="3"/>
      <c r="I1227" s="3"/>
      <c r="J1227" s="3"/>
      <c r="K1227" s="3"/>
      <c r="L1227" s="1"/>
      <c r="M1227" s="1"/>
      <c r="N1227" s="1"/>
      <c r="O1227" s="1"/>
      <c r="P1227" s="7">
        <v>0.95</v>
      </c>
      <c r="Q1227" s="54"/>
      <c r="R1227" s="52"/>
      <c r="S1227" s="1"/>
      <c r="T1227" s="1"/>
      <c r="U1227" s="1"/>
    </row>
    <row r="1228" spans="1:21" ht="42" x14ac:dyDescent="0.3">
      <c r="A1228" s="1"/>
      <c r="B1228" s="55" t="s">
        <v>3</v>
      </c>
      <c r="C1228" s="55" t="s">
        <v>4</v>
      </c>
      <c r="D1228" s="8" t="s">
        <v>5</v>
      </c>
      <c r="E1228" s="8" t="s">
        <v>6</v>
      </c>
      <c r="F1228" s="9" t="s">
        <v>7</v>
      </c>
      <c r="G1228" s="9" t="s">
        <v>8</v>
      </c>
      <c r="H1228" s="9" t="s">
        <v>9</v>
      </c>
      <c r="I1228" s="10" t="s">
        <v>10</v>
      </c>
      <c r="J1228" s="10" t="s">
        <v>11</v>
      </c>
      <c r="K1228" s="11" t="s">
        <v>12</v>
      </c>
      <c r="L1228" s="10" t="s">
        <v>13</v>
      </c>
      <c r="M1228" s="11" t="s">
        <v>14</v>
      </c>
      <c r="N1228" s="12" t="s">
        <v>15</v>
      </c>
      <c r="O1228" s="57" t="s">
        <v>16</v>
      </c>
      <c r="P1228" s="57" t="s">
        <v>17</v>
      </c>
      <c r="Q1228" s="54"/>
      <c r="R1228" s="52"/>
      <c r="S1228" s="1"/>
      <c r="T1228" s="1"/>
      <c r="U1228" s="1"/>
    </row>
    <row r="1229" spans="1:21" x14ac:dyDescent="0.3">
      <c r="A1229" s="1"/>
      <c r="B1229" s="56"/>
      <c r="C1229" s="56"/>
      <c r="D1229" s="13" t="s">
        <v>18</v>
      </c>
      <c r="E1229" s="13" t="s">
        <v>18</v>
      </c>
      <c r="F1229" s="13" t="s">
        <v>18</v>
      </c>
      <c r="G1229" s="13" t="s">
        <v>18</v>
      </c>
      <c r="H1229" s="13" t="s">
        <v>18</v>
      </c>
      <c r="I1229" s="13" t="s">
        <v>18</v>
      </c>
      <c r="J1229" s="13" t="s">
        <v>18</v>
      </c>
      <c r="K1229" s="13" t="s">
        <v>18</v>
      </c>
      <c r="L1229" s="13" t="s">
        <v>18</v>
      </c>
      <c r="M1229" s="13" t="s">
        <v>18</v>
      </c>
      <c r="N1229" s="14" t="s">
        <v>29</v>
      </c>
      <c r="O1229" s="58"/>
      <c r="P1229" s="58"/>
      <c r="Q1229" s="54"/>
      <c r="R1229" s="52"/>
      <c r="S1229" s="1"/>
      <c r="T1229" s="1"/>
      <c r="U1229" s="1"/>
    </row>
    <row r="1230" spans="1:21" x14ac:dyDescent="0.3">
      <c r="A1230" s="1"/>
      <c r="B1230" s="59" t="s">
        <v>20</v>
      </c>
      <c r="C1230" s="60"/>
      <c r="D1230" s="16">
        <v>0.1</v>
      </c>
      <c r="E1230" s="16">
        <v>0.05</v>
      </c>
      <c r="F1230" s="16">
        <v>0.1</v>
      </c>
      <c r="G1230" s="16">
        <v>0.1</v>
      </c>
      <c r="H1230" s="16">
        <v>0.05</v>
      </c>
      <c r="I1230" s="17">
        <v>0.1</v>
      </c>
      <c r="J1230" s="17">
        <v>0.35</v>
      </c>
      <c r="K1230" s="17">
        <v>0.08</v>
      </c>
      <c r="L1230" s="17">
        <v>0.02</v>
      </c>
      <c r="M1230" s="17">
        <v>0.05</v>
      </c>
      <c r="N1230" s="19">
        <v>1</v>
      </c>
      <c r="O1230" s="20"/>
      <c r="P1230" s="22"/>
      <c r="Q1230" s="54"/>
      <c r="R1230" s="52"/>
      <c r="S1230" s="1"/>
      <c r="T1230" s="1"/>
      <c r="U1230" s="1"/>
    </row>
    <row r="1231" spans="1:21" ht="18" x14ac:dyDescent="0.3">
      <c r="A1231" s="1"/>
      <c r="B1231" s="23">
        <v>1</v>
      </c>
      <c r="C1231" s="24" t="s">
        <v>606</v>
      </c>
      <c r="D1231" s="25">
        <v>1</v>
      </c>
      <c r="E1231" s="25">
        <v>1</v>
      </c>
      <c r="F1231" s="25">
        <v>1</v>
      </c>
      <c r="G1231" s="25">
        <v>0.74339999999999995</v>
      </c>
      <c r="H1231" s="25">
        <v>0</v>
      </c>
      <c r="I1231" s="25">
        <v>0.99399999999999999</v>
      </c>
      <c r="J1231" s="25">
        <v>1</v>
      </c>
      <c r="K1231" s="25">
        <v>1</v>
      </c>
      <c r="L1231" s="26">
        <v>0</v>
      </c>
      <c r="M1231" s="26">
        <v>0.5</v>
      </c>
      <c r="N1231" s="27">
        <v>0.87870000000000004</v>
      </c>
      <c r="O1231" s="28">
        <v>0</v>
      </c>
      <c r="P1231" s="27">
        <v>0.87870000000000004</v>
      </c>
      <c r="Q1231" s="54"/>
      <c r="R1231" s="52"/>
      <c r="S1231" s="1"/>
      <c r="T1231" s="1"/>
      <c r="U1231" s="1"/>
    </row>
    <row r="1232" spans="1:21" ht="18" x14ac:dyDescent="0.3">
      <c r="A1232" s="1"/>
      <c r="B1232" s="23">
        <v>2</v>
      </c>
      <c r="C1232" s="24" t="s">
        <v>607</v>
      </c>
      <c r="D1232" s="25">
        <v>1</v>
      </c>
      <c r="E1232" s="25">
        <v>1</v>
      </c>
      <c r="F1232" s="25">
        <v>1</v>
      </c>
      <c r="G1232" s="25">
        <v>1</v>
      </c>
      <c r="H1232" s="25">
        <v>1</v>
      </c>
      <c r="I1232" s="25">
        <v>1</v>
      </c>
      <c r="J1232" s="25">
        <v>1</v>
      </c>
      <c r="K1232" s="25">
        <v>0.5</v>
      </c>
      <c r="L1232" s="26">
        <v>1</v>
      </c>
      <c r="M1232" s="26">
        <v>1</v>
      </c>
      <c r="N1232" s="27">
        <v>0.96</v>
      </c>
      <c r="O1232" s="28">
        <v>0</v>
      </c>
      <c r="P1232" s="27">
        <v>0.96</v>
      </c>
      <c r="Q1232" s="54"/>
      <c r="R1232" s="52"/>
      <c r="S1232" s="1"/>
      <c r="T1232" s="1"/>
      <c r="U1232" s="1"/>
    </row>
    <row r="1233" spans="1:21" ht="18" x14ac:dyDescent="0.3">
      <c r="A1233" s="1"/>
      <c r="B1233" s="23">
        <v>3</v>
      </c>
      <c r="C1233" s="24" t="s">
        <v>608</v>
      </c>
      <c r="D1233" s="25">
        <v>1</v>
      </c>
      <c r="E1233" s="25">
        <v>1</v>
      </c>
      <c r="F1233" s="25">
        <v>0.98240000000000005</v>
      </c>
      <c r="G1233" s="25">
        <v>0.99109999999999998</v>
      </c>
      <c r="H1233" s="25">
        <v>1</v>
      </c>
      <c r="I1233" s="25">
        <v>0.99809999999999999</v>
      </c>
      <c r="J1233" s="25">
        <v>1</v>
      </c>
      <c r="K1233" s="25">
        <v>1</v>
      </c>
      <c r="L1233" s="26">
        <v>0</v>
      </c>
      <c r="M1233" s="26">
        <v>1</v>
      </c>
      <c r="N1233" s="27">
        <v>0.97719999999999996</v>
      </c>
      <c r="O1233" s="28">
        <v>0</v>
      </c>
      <c r="P1233" s="27">
        <v>0.97719999999999996</v>
      </c>
      <c r="Q1233" s="54"/>
      <c r="R1233" s="52"/>
      <c r="S1233" s="1"/>
      <c r="T1233" s="1"/>
      <c r="U1233" s="1"/>
    </row>
    <row r="1234" spans="1:21" ht="18" x14ac:dyDescent="0.3">
      <c r="A1234" s="1"/>
      <c r="B1234" s="23">
        <v>4</v>
      </c>
      <c r="C1234" s="24" t="s">
        <v>609</v>
      </c>
      <c r="D1234" s="25">
        <v>1</v>
      </c>
      <c r="E1234" s="25">
        <v>0.99</v>
      </c>
      <c r="F1234" s="25">
        <v>1</v>
      </c>
      <c r="G1234" s="25">
        <v>1</v>
      </c>
      <c r="H1234" s="25">
        <v>1</v>
      </c>
      <c r="I1234" s="25">
        <v>0.99219999999999997</v>
      </c>
      <c r="J1234" s="25">
        <v>1</v>
      </c>
      <c r="K1234" s="25">
        <v>1</v>
      </c>
      <c r="L1234" s="26">
        <v>0</v>
      </c>
      <c r="M1234" s="26">
        <v>1</v>
      </c>
      <c r="N1234" s="27">
        <v>0.97870000000000001</v>
      </c>
      <c r="O1234" s="28">
        <v>0</v>
      </c>
      <c r="P1234" s="27">
        <v>0.97870000000000001</v>
      </c>
      <c r="Q1234" s="54"/>
      <c r="R1234" s="52"/>
      <c r="S1234" s="1"/>
      <c r="T1234" s="1"/>
      <c r="U1234" s="1"/>
    </row>
    <row r="1235" spans="1:21" ht="18" x14ac:dyDescent="0.3">
      <c r="A1235" s="1"/>
      <c r="B1235" s="23">
        <v>5</v>
      </c>
      <c r="C1235" s="24" t="s">
        <v>610</v>
      </c>
      <c r="D1235" s="25">
        <v>1</v>
      </c>
      <c r="E1235" s="25">
        <v>1</v>
      </c>
      <c r="F1235" s="25">
        <v>1</v>
      </c>
      <c r="G1235" s="25">
        <v>0.91539999999999999</v>
      </c>
      <c r="H1235" s="25">
        <v>1</v>
      </c>
      <c r="I1235" s="25">
        <v>0.99680000000000002</v>
      </c>
      <c r="J1235" s="25">
        <v>1</v>
      </c>
      <c r="K1235" s="25">
        <v>1</v>
      </c>
      <c r="L1235" s="26">
        <v>0</v>
      </c>
      <c r="M1235" s="26">
        <v>0.5</v>
      </c>
      <c r="N1235" s="27">
        <v>0.94620000000000004</v>
      </c>
      <c r="O1235" s="28">
        <v>0</v>
      </c>
      <c r="P1235" s="27">
        <v>0.94620000000000004</v>
      </c>
      <c r="Q1235" s="54"/>
      <c r="R1235" s="52"/>
      <c r="S1235" s="1"/>
      <c r="T1235" s="1"/>
      <c r="U1235" s="1"/>
    </row>
    <row r="1236" spans="1:21" x14ac:dyDescent="0.3">
      <c r="A1236" s="1"/>
      <c r="B1236" s="59" t="s">
        <v>27</v>
      </c>
      <c r="C1236" s="60"/>
      <c r="D1236" s="31">
        <v>1</v>
      </c>
      <c r="E1236" s="31">
        <v>1</v>
      </c>
      <c r="F1236" s="31">
        <v>1</v>
      </c>
      <c r="G1236" s="31">
        <v>0.93</v>
      </c>
      <c r="H1236" s="31">
        <v>0.8</v>
      </c>
      <c r="I1236" s="31">
        <v>1</v>
      </c>
      <c r="J1236" s="31">
        <v>1</v>
      </c>
      <c r="K1236" s="31">
        <v>0.9</v>
      </c>
      <c r="L1236" s="31">
        <v>0.2</v>
      </c>
      <c r="M1236" s="31">
        <v>0.8</v>
      </c>
      <c r="N1236" s="31">
        <v>0.97</v>
      </c>
      <c r="O1236" s="31">
        <v>0</v>
      </c>
      <c r="P1236" s="31">
        <v>0.95</v>
      </c>
      <c r="Q1236" s="54"/>
      <c r="R1236" s="52"/>
      <c r="S1236" s="1"/>
      <c r="T1236" s="1"/>
      <c r="U1236" s="1"/>
    </row>
    <row r="1237" spans="1:21" x14ac:dyDescent="0.3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52"/>
      <c r="R1237" s="52"/>
      <c r="S1237" s="1"/>
      <c r="T1237" s="1"/>
      <c r="U1237" s="1"/>
    </row>
    <row r="1238" spans="1:21" x14ac:dyDescent="0.3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52"/>
      <c r="R1238" s="52"/>
      <c r="S1238" s="1"/>
      <c r="T1238" s="1"/>
      <c r="U1238" s="1"/>
    </row>
    <row r="1239" spans="1:21" x14ac:dyDescent="0.3">
      <c r="A1239" s="1"/>
      <c r="B1239" s="23">
        <v>2</v>
      </c>
      <c r="C1239" s="49" t="s">
        <v>611</v>
      </c>
      <c r="D1239" s="25">
        <v>1</v>
      </c>
      <c r="E1239" s="25">
        <v>1</v>
      </c>
      <c r="F1239" s="40" t="e">
        <v>#VALUE!</v>
      </c>
      <c r="G1239" s="40" t="e">
        <v>#VALUE!</v>
      </c>
      <c r="H1239" s="25">
        <v>0</v>
      </c>
      <c r="I1239" s="25">
        <v>0</v>
      </c>
      <c r="J1239" s="25">
        <v>1</v>
      </c>
      <c r="K1239" s="25">
        <v>1</v>
      </c>
      <c r="L1239" s="26">
        <v>0</v>
      </c>
      <c r="M1239" s="26">
        <v>1</v>
      </c>
      <c r="N1239" s="22" t="e">
        <v>#VALUE!</v>
      </c>
      <c r="O1239" s="28">
        <v>0</v>
      </c>
      <c r="P1239" s="22" t="e">
        <v>#VALUE!</v>
      </c>
      <c r="Q1239" s="54"/>
      <c r="R1239" s="52"/>
      <c r="S1239" s="1"/>
      <c r="T1239" s="1"/>
      <c r="U1239" s="1"/>
    </row>
  </sheetData>
  <mergeCells count="1784">
    <mergeCell ref="Q1235:R1235"/>
    <mergeCell ref="B1236:C1236"/>
    <mergeCell ref="Q1236:R1236"/>
    <mergeCell ref="Q1237:R1237"/>
    <mergeCell ref="Q1238:R1238"/>
    <mergeCell ref="Q1239:R1239"/>
    <mergeCell ref="B1230:C1230"/>
    <mergeCell ref="Q1230:R1230"/>
    <mergeCell ref="Q1231:R1231"/>
    <mergeCell ref="Q1232:R1232"/>
    <mergeCell ref="Q1233:R1233"/>
    <mergeCell ref="Q1234:R1234"/>
    <mergeCell ref="Q1227:R1227"/>
    <mergeCell ref="B1228:B1229"/>
    <mergeCell ref="C1228:C1229"/>
    <mergeCell ref="O1228:O1229"/>
    <mergeCell ref="P1228:P1229"/>
    <mergeCell ref="Q1228:R1228"/>
    <mergeCell ref="Q1229:R1229"/>
    <mergeCell ref="Q1222:R1222"/>
    <mergeCell ref="B1223:C1223"/>
    <mergeCell ref="Q1223:R1223"/>
    <mergeCell ref="Q1224:R1224"/>
    <mergeCell ref="Q1225:R1225"/>
    <mergeCell ref="Q1226:R1226"/>
    <mergeCell ref="B1217:C1217"/>
    <mergeCell ref="Q1217:R1217"/>
    <mergeCell ref="Q1218:R1218"/>
    <mergeCell ref="Q1219:R1219"/>
    <mergeCell ref="Q1220:R1220"/>
    <mergeCell ref="Q1221:R1221"/>
    <mergeCell ref="Q1214:R1214"/>
    <mergeCell ref="B1215:B1216"/>
    <mergeCell ref="C1215:C1216"/>
    <mergeCell ref="O1215:O1216"/>
    <mergeCell ref="P1215:P1216"/>
    <mergeCell ref="Q1215:R1215"/>
    <mergeCell ref="Q1216:R1216"/>
    <mergeCell ref="Q1209:R1209"/>
    <mergeCell ref="B1210:C1210"/>
    <mergeCell ref="Q1210:R1210"/>
    <mergeCell ref="Q1211:R1211"/>
    <mergeCell ref="Q1212:R1212"/>
    <mergeCell ref="Q1213:R1213"/>
    <mergeCell ref="B1204:C1204"/>
    <mergeCell ref="Q1204:R1204"/>
    <mergeCell ref="Q1205:R1205"/>
    <mergeCell ref="Q1206:R1206"/>
    <mergeCell ref="Q1207:R1207"/>
    <mergeCell ref="Q1208:R1208"/>
    <mergeCell ref="Q1200:R1200"/>
    <mergeCell ref="Q1201:R1201"/>
    <mergeCell ref="B1202:B1203"/>
    <mergeCell ref="C1202:C1203"/>
    <mergeCell ref="O1202:O1203"/>
    <mergeCell ref="P1202:P1203"/>
    <mergeCell ref="Q1202:R1202"/>
    <mergeCell ref="Q1203:R1203"/>
    <mergeCell ref="Q1195:R1195"/>
    <mergeCell ref="Q1196:R1196"/>
    <mergeCell ref="B1197:C1197"/>
    <mergeCell ref="Q1197:R1197"/>
    <mergeCell ref="Q1198:R1198"/>
    <mergeCell ref="Q1199:R1199"/>
    <mergeCell ref="B1190:C1190"/>
    <mergeCell ref="Q1190:R1190"/>
    <mergeCell ref="Q1191:R1191"/>
    <mergeCell ref="Q1192:R1192"/>
    <mergeCell ref="Q1193:R1193"/>
    <mergeCell ref="Q1194:R1194"/>
    <mergeCell ref="Q1187:R1187"/>
    <mergeCell ref="B1188:B1189"/>
    <mergeCell ref="C1188:C1189"/>
    <mergeCell ref="O1188:O1189"/>
    <mergeCell ref="P1188:P1189"/>
    <mergeCell ref="Q1188:R1188"/>
    <mergeCell ref="Q1189:R1189"/>
    <mergeCell ref="Q1182:R1182"/>
    <mergeCell ref="B1183:C1183"/>
    <mergeCell ref="Q1183:R1183"/>
    <mergeCell ref="Q1184:R1184"/>
    <mergeCell ref="Q1185:R1185"/>
    <mergeCell ref="Q1186:R1186"/>
    <mergeCell ref="B1177:C1177"/>
    <mergeCell ref="Q1177:R1177"/>
    <mergeCell ref="Q1178:R1178"/>
    <mergeCell ref="Q1179:R1179"/>
    <mergeCell ref="Q1180:R1180"/>
    <mergeCell ref="Q1181:R1181"/>
    <mergeCell ref="Q1174:R1174"/>
    <mergeCell ref="B1175:B1176"/>
    <mergeCell ref="C1175:C1176"/>
    <mergeCell ref="O1175:O1176"/>
    <mergeCell ref="P1175:P1176"/>
    <mergeCell ref="Q1175:R1175"/>
    <mergeCell ref="Q1176:R1176"/>
    <mergeCell ref="Q1169:R1169"/>
    <mergeCell ref="B1170:C1170"/>
    <mergeCell ref="Q1170:R1170"/>
    <mergeCell ref="Q1171:R1171"/>
    <mergeCell ref="Q1172:R1172"/>
    <mergeCell ref="Q1173:R1173"/>
    <mergeCell ref="B1164:C1164"/>
    <mergeCell ref="Q1164:R1164"/>
    <mergeCell ref="Q1165:R1165"/>
    <mergeCell ref="Q1166:R1166"/>
    <mergeCell ref="Q1167:R1167"/>
    <mergeCell ref="Q1168:R1168"/>
    <mergeCell ref="Q1161:R1161"/>
    <mergeCell ref="B1162:B1163"/>
    <mergeCell ref="C1162:C1163"/>
    <mergeCell ref="O1162:O1163"/>
    <mergeCell ref="P1162:P1163"/>
    <mergeCell ref="Q1162:R1162"/>
    <mergeCell ref="Q1163:R1163"/>
    <mergeCell ref="Q1156:R1156"/>
    <mergeCell ref="B1157:C1157"/>
    <mergeCell ref="Q1157:R1157"/>
    <mergeCell ref="Q1158:R1158"/>
    <mergeCell ref="Q1159:R1159"/>
    <mergeCell ref="Q1160:R1160"/>
    <mergeCell ref="B1151:C1151"/>
    <mergeCell ref="Q1151:R1151"/>
    <mergeCell ref="Q1152:R1152"/>
    <mergeCell ref="Q1153:R1153"/>
    <mergeCell ref="Q1154:R1154"/>
    <mergeCell ref="Q1155:R1155"/>
    <mergeCell ref="Q1148:R1148"/>
    <mergeCell ref="B1149:B1150"/>
    <mergeCell ref="C1149:C1150"/>
    <mergeCell ref="O1149:O1150"/>
    <mergeCell ref="P1149:P1150"/>
    <mergeCell ref="Q1149:R1149"/>
    <mergeCell ref="Q1150:R1150"/>
    <mergeCell ref="Q1143:R1143"/>
    <mergeCell ref="B1144:C1144"/>
    <mergeCell ref="Q1144:R1144"/>
    <mergeCell ref="Q1145:R1145"/>
    <mergeCell ref="Q1146:R1146"/>
    <mergeCell ref="Q1147:R1147"/>
    <mergeCell ref="B1138:C1138"/>
    <mergeCell ref="Q1138:R1138"/>
    <mergeCell ref="Q1139:R1139"/>
    <mergeCell ref="Q1140:R1140"/>
    <mergeCell ref="Q1141:R1141"/>
    <mergeCell ref="Q1142:R1142"/>
    <mergeCell ref="Q1135:R1135"/>
    <mergeCell ref="B1136:B1137"/>
    <mergeCell ref="C1136:C1137"/>
    <mergeCell ref="O1136:O1137"/>
    <mergeCell ref="P1136:P1137"/>
    <mergeCell ref="Q1136:R1136"/>
    <mergeCell ref="Q1137:R1137"/>
    <mergeCell ref="Q1130:R1130"/>
    <mergeCell ref="B1131:C1131"/>
    <mergeCell ref="Q1131:R1131"/>
    <mergeCell ref="Q1132:R1132"/>
    <mergeCell ref="Q1133:R1133"/>
    <mergeCell ref="Q1134:R1134"/>
    <mergeCell ref="B1125:C1125"/>
    <mergeCell ref="Q1125:R1125"/>
    <mergeCell ref="Q1126:R1126"/>
    <mergeCell ref="Q1127:R1127"/>
    <mergeCell ref="Q1128:R1128"/>
    <mergeCell ref="Q1129:R1129"/>
    <mergeCell ref="Q1121:R1121"/>
    <mergeCell ref="Q1122:R1122"/>
    <mergeCell ref="B1123:B1124"/>
    <mergeCell ref="C1123:C1124"/>
    <mergeCell ref="O1123:O1124"/>
    <mergeCell ref="P1123:P1124"/>
    <mergeCell ref="Q1123:R1123"/>
    <mergeCell ref="Q1124:R1124"/>
    <mergeCell ref="Q1116:R1116"/>
    <mergeCell ref="Q1117:R1117"/>
    <mergeCell ref="B1118:C1118"/>
    <mergeCell ref="Q1118:R1118"/>
    <mergeCell ref="Q1119:R1119"/>
    <mergeCell ref="Q1120:R1120"/>
    <mergeCell ref="B1111:C1111"/>
    <mergeCell ref="Q1111:R1111"/>
    <mergeCell ref="Q1112:R1112"/>
    <mergeCell ref="Q1113:R1113"/>
    <mergeCell ref="Q1114:R1114"/>
    <mergeCell ref="Q1115:R1115"/>
    <mergeCell ref="Q1107:R1107"/>
    <mergeCell ref="Q1108:R1108"/>
    <mergeCell ref="B1109:B1110"/>
    <mergeCell ref="C1109:C1110"/>
    <mergeCell ref="O1109:O1110"/>
    <mergeCell ref="P1109:P1110"/>
    <mergeCell ref="Q1109:R1109"/>
    <mergeCell ref="Q1110:R1110"/>
    <mergeCell ref="Q1102:R1102"/>
    <mergeCell ref="Q1103:R1103"/>
    <mergeCell ref="B1104:C1104"/>
    <mergeCell ref="Q1104:R1104"/>
    <mergeCell ref="Q1105:R1105"/>
    <mergeCell ref="Q1106:R1106"/>
    <mergeCell ref="B1097:C1097"/>
    <mergeCell ref="Q1097:R1097"/>
    <mergeCell ref="Q1098:R1098"/>
    <mergeCell ref="Q1099:R1099"/>
    <mergeCell ref="Q1100:R1100"/>
    <mergeCell ref="Q1101:R1101"/>
    <mergeCell ref="Q1092:R1092"/>
    <mergeCell ref="Q1093:R1093"/>
    <mergeCell ref="Q1094:R1094"/>
    <mergeCell ref="B1095:B1096"/>
    <mergeCell ref="C1095:C1096"/>
    <mergeCell ref="O1095:O1096"/>
    <mergeCell ref="P1095:P1096"/>
    <mergeCell ref="Q1095:R1095"/>
    <mergeCell ref="Q1096:R1096"/>
    <mergeCell ref="Q1087:R1087"/>
    <mergeCell ref="Q1088:R1088"/>
    <mergeCell ref="Q1089:R1089"/>
    <mergeCell ref="B1090:C1090"/>
    <mergeCell ref="Q1090:R1090"/>
    <mergeCell ref="Q1091:R1091"/>
    <mergeCell ref="B1082:C1082"/>
    <mergeCell ref="Q1082:R1082"/>
    <mergeCell ref="Q1083:R1083"/>
    <mergeCell ref="Q1084:R1084"/>
    <mergeCell ref="Q1085:R1085"/>
    <mergeCell ref="Q1086:R1086"/>
    <mergeCell ref="Q1078:R1078"/>
    <mergeCell ref="Q1079:R1079"/>
    <mergeCell ref="B1080:B1081"/>
    <mergeCell ref="C1080:C1081"/>
    <mergeCell ref="O1080:O1081"/>
    <mergeCell ref="P1080:P1081"/>
    <mergeCell ref="Q1080:R1080"/>
    <mergeCell ref="Q1081:R1081"/>
    <mergeCell ref="Q1073:R1073"/>
    <mergeCell ref="Q1074:R1074"/>
    <mergeCell ref="B1075:C1075"/>
    <mergeCell ref="Q1075:R1075"/>
    <mergeCell ref="Q1076:R1076"/>
    <mergeCell ref="Q1077:R1077"/>
    <mergeCell ref="B1068:C1068"/>
    <mergeCell ref="Q1068:R1068"/>
    <mergeCell ref="Q1069:R1069"/>
    <mergeCell ref="Q1070:R1070"/>
    <mergeCell ref="Q1071:R1071"/>
    <mergeCell ref="Q1072:R1072"/>
    <mergeCell ref="Q1062:R1062"/>
    <mergeCell ref="Q1063:R1063"/>
    <mergeCell ref="Q1064:R1064"/>
    <mergeCell ref="Q1065:R1065"/>
    <mergeCell ref="B1066:B1067"/>
    <mergeCell ref="C1066:C1067"/>
    <mergeCell ref="O1066:O1067"/>
    <mergeCell ref="P1066:P1067"/>
    <mergeCell ref="Q1066:R1066"/>
    <mergeCell ref="Q1067:R1067"/>
    <mergeCell ref="B1057:C1057"/>
    <mergeCell ref="Q1057:R1057"/>
    <mergeCell ref="Q1058:R1058"/>
    <mergeCell ref="Q1059:R1059"/>
    <mergeCell ref="Q1060:R1060"/>
    <mergeCell ref="B1061:C1061"/>
    <mergeCell ref="Q1061:R1061"/>
    <mergeCell ref="Q1054:R1054"/>
    <mergeCell ref="B1055:B1056"/>
    <mergeCell ref="C1055:C1056"/>
    <mergeCell ref="O1055:O1056"/>
    <mergeCell ref="P1055:P1056"/>
    <mergeCell ref="Q1055:R1055"/>
    <mergeCell ref="Q1056:R1056"/>
    <mergeCell ref="Q1049:R1049"/>
    <mergeCell ref="B1050:C1050"/>
    <mergeCell ref="Q1050:R1050"/>
    <mergeCell ref="Q1051:R1051"/>
    <mergeCell ref="Q1052:R1052"/>
    <mergeCell ref="Q1053:R1053"/>
    <mergeCell ref="B1044:C1044"/>
    <mergeCell ref="Q1044:R1044"/>
    <mergeCell ref="Q1045:R1045"/>
    <mergeCell ref="Q1046:R1046"/>
    <mergeCell ref="Q1047:R1047"/>
    <mergeCell ref="Q1048:R1048"/>
    <mergeCell ref="Q1040:R1040"/>
    <mergeCell ref="Q1041:R1041"/>
    <mergeCell ref="B1042:B1043"/>
    <mergeCell ref="C1042:C1043"/>
    <mergeCell ref="O1042:O1043"/>
    <mergeCell ref="P1042:P1043"/>
    <mergeCell ref="Q1042:R1042"/>
    <mergeCell ref="Q1043:R1043"/>
    <mergeCell ref="Q1035:R1035"/>
    <mergeCell ref="Q1036:R1036"/>
    <mergeCell ref="B1037:C1037"/>
    <mergeCell ref="Q1037:R1037"/>
    <mergeCell ref="Q1038:R1038"/>
    <mergeCell ref="Q1039:R1039"/>
    <mergeCell ref="B1030:C1030"/>
    <mergeCell ref="Q1030:R1030"/>
    <mergeCell ref="Q1031:R1031"/>
    <mergeCell ref="Q1032:R1032"/>
    <mergeCell ref="Q1033:R1033"/>
    <mergeCell ref="Q1034:R1034"/>
    <mergeCell ref="B1028:B1029"/>
    <mergeCell ref="C1028:C1029"/>
    <mergeCell ref="O1028:O1029"/>
    <mergeCell ref="P1028:P1029"/>
    <mergeCell ref="Q1028:R1028"/>
    <mergeCell ref="Q1029:R1029"/>
    <mergeCell ref="B1023:C1023"/>
    <mergeCell ref="Q1023:R1023"/>
    <mergeCell ref="Q1024:R1024"/>
    <mergeCell ref="Q1025:R1025"/>
    <mergeCell ref="Q1026:R1026"/>
    <mergeCell ref="Q1027:R1027"/>
    <mergeCell ref="B1018:C1018"/>
    <mergeCell ref="Q1018:R1018"/>
    <mergeCell ref="Q1019:R1019"/>
    <mergeCell ref="Q1020:R1020"/>
    <mergeCell ref="Q1021:R1021"/>
    <mergeCell ref="Q1022:R1022"/>
    <mergeCell ref="Q1014:R1014"/>
    <mergeCell ref="Q1015:R1015"/>
    <mergeCell ref="B1016:B1017"/>
    <mergeCell ref="C1016:C1017"/>
    <mergeCell ref="O1016:O1017"/>
    <mergeCell ref="P1016:P1017"/>
    <mergeCell ref="Q1016:R1016"/>
    <mergeCell ref="Q1017:R1017"/>
    <mergeCell ref="Q1009:R1009"/>
    <mergeCell ref="Q1010:R1010"/>
    <mergeCell ref="B1011:C1011"/>
    <mergeCell ref="Q1011:R1011"/>
    <mergeCell ref="Q1012:R1012"/>
    <mergeCell ref="Q1013:R1013"/>
    <mergeCell ref="B1004:C1004"/>
    <mergeCell ref="Q1004:R1004"/>
    <mergeCell ref="Q1005:R1005"/>
    <mergeCell ref="Q1006:R1006"/>
    <mergeCell ref="Q1007:R1007"/>
    <mergeCell ref="Q1008:R1008"/>
    <mergeCell ref="Q1001:R1001"/>
    <mergeCell ref="B1002:B1003"/>
    <mergeCell ref="C1002:C1003"/>
    <mergeCell ref="O1002:O1003"/>
    <mergeCell ref="P1002:P1003"/>
    <mergeCell ref="Q1002:R1002"/>
    <mergeCell ref="Q1003:R1003"/>
    <mergeCell ref="Q996:R996"/>
    <mergeCell ref="B997:C997"/>
    <mergeCell ref="Q997:R997"/>
    <mergeCell ref="Q998:R998"/>
    <mergeCell ref="Q999:R999"/>
    <mergeCell ref="Q1000:R1000"/>
    <mergeCell ref="B991:C991"/>
    <mergeCell ref="Q991:R991"/>
    <mergeCell ref="Q992:R992"/>
    <mergeCell ref="Q993:R993"/>
    <mergeCell ref="Q994:R994"/>
    <mergeCell ref="Q995:R995"/>
    <mergeCell ref="Q987:R987"/>
    <mergeCell ref="Q988:R988"/>
    <mergeCell ref="B989:B990"/>
    <mergeCell ref="C989:C990"/>
    <mergeCell ref="O989:O990"/>
    <mergeCell ref="P989:P990"/>
    <mergeCell ref="Q989:R989"/>
    <mergeCell ref="Q990:R990"/>
    <mergeCell ref="Q982:R982"/>
    <mergeCell ref="Q983:R983"/>
    <mergeCell ref="B984:C984"/>
    <mergeCell ref="Q984:R984"/>
    <mergeCell ref="Q985:R985"/>
    <mergeCell ref="Q986:R986"/>
    <mergeCell ref="B977:C977"/>
    <mergeCell ref="Q977:R977"/>
    <mergeCell ref="Q978:R978"/>
    <mergeCell ref="Q979:R979"/>
    <mergeCell ref="Q980:R980"/>
    <mergeCell ref="Q981:R981"/>
    <mergeCell ref="Q973:R973"/>
    <mergeCell ref="Q974:R974"/>
    <mergeCell ref="B975:B976"/>
    <mergeCell ref="C975:C976"/>
    <mergeCell ref="O975:O976"/>
    <mergeCell ref="P975:P976"/>
    <mergeCell ref="Q975:R975"/>
    <mergeCell ref="Q976:R976"/>
    <mergeCell ref="Q968:R968"/>
    <mergeCell ref="Q969:R969"/>
    <mergeCell ref="B970:C970"/>
    <mergeCell ref="Q970:R970"/>
    <mergeCell ref="Q971:R971"/>
    <mergeCell ref="Q972:R972"/>
    <mergeCell ref="B963:C963"/>
    <mergeCell ref="Q963:R963"/>
    <mergeCell ref="Q964:R964"/>
    <mergeCell ref="Q965:R965"/>
    <mergeCell ref="Q966:R966"/>
    <mergeCell ref="Q967:R967"/>
    <mergeCell ref="Q959:R959"/>
    <mergeCell ref="Q960:R960"/>
    <mergeCell ref="B961:B962"/>
    <mergeCell ref="C961:C962"/>
    <mergeCell ref="O961:O962"/>
    <mergeCell ref="P961:P962"/>
    <mergeCell ref="Q961:R961"/>
    <mergeCell ref="Q962:R962"/>
    <mergeCell ref="Q954:R954"/>
    <mergeCell ref="Q955:R955"/>
    <mergeCell ref="B956:C956"/>
    <mergeCell ref="Q956:R956"/>
    <mergeCell ref="Q957:R957"/>
    <mergeCell ref="Q958:R958"/>
    <mergeCell ref="B949:C949"/>
    <mergeCell ref="Q949:R949"/>
    <mergeCell ref="Q950:R950"/>
    <mergeCell ref="Q951:R951"/>
    <mergeCell ref="Q952:R952"/>
    <mergeCell ref="Q953:R953"/>
    <mergeCell ref="Q946:R946"/>
    <mergeCell ref="B947:B948"/>
    <mergeCell ref="C947:C948"/>
    <mergeCell ref="O947:O948"/>
    <mergeCell ref="P947:P948"/>
    <mergeCell ref="Q947:R947"/>
    <mergeCell ref="Q948:R948"/>
    <mergeCell ref="Q941:R941"/>
    <mergeCell ref="B942:C942"/>
    <mergeCell ref="Q942:R942"/>
    <mergeCell ref="Q943:R943"/>
    <mergeCell ref="Q944:R944"/>
    <mergeCell ref="Q945:R945"/>
    <mergeCell ref="B936:C936"/>
    <mergeCell ref="Q936:R936"/>
    <mergeCell ref="Q937:R937"/>
    <mergeCell ref="Q938:R938"/>
    <mergeCell ref="Q939:R939"/>
    <mergeCell ref="Q940:R940"/>
    <mergeCell ref="Q933:R933"/>
    <mergeCell ref="B934:B935"/>
    <mergeCell ref="C934:C935"/>
    <mergeCell ref="O934:O935"/>
    <mergeCell ref="P934:P935"/>
    <mergeCell ref="Q934:R934"/>
    <mergeCell ref="Q935:R935"/>
    <mergeCell ref="Q928:R928"/>
    <mergeCell ref="B929:C929"/>
    <mergeCell ref="Q929:R929"/>
    <mergeCell ref="Q930:R930"/>
    <mergeCell ref="Q931:R931"/>
    <mergeCell ref="Q932:R932"/>
    <mergeCell ref="B923:C923"/>
    <mergeCell ref="Q923:R923"/>
    <mergeCell ref="Q924:R924"/>
    <mergeCell ref="Q925:R925"/>
    <mergeCell ref="Q926:R926"/>
    <mergeCell ref="Q927:R927"/>
    <mergeCell ref="Q919:R919"/>
    <mergeCell ref="Q920:R920"/>
    <mergeCell ref="B921:B922"/>
    <mergeCell ref="C921:C922"/>
    <mergeCell ref="O921:O922"/>
    <mergeCell ref="P921:P922"/>
    <mergeCell ref="Q921:R921"/>
    <mergeCell ref="Q922:R922"/>
    <mergeCell ref="Q914:R914"/>
    <mergeCell ref="Q915:R915"/>
    <mergeCell ref="B916:C916"/>
    <mergeCell ref="Q916:R916"/>
    <mergeCell ref="Q917:R917"/>
    <mergeCell ref="Q918:R918"/>
    <mergeCell ref="B909:C909"/>
    <mergeCell ref="Q909:R909"/>
    <mergeCell ref="Q910:R910"/>
    <mergeCell ref="Q911:R911"/>
    <mergeCell ref="Q912:R912"/>
    <mergeCell ref="Q913:R913"/>
    <mergeCell ref="Q906:R906"/>
    <mergeCell ref="B907:B908"/>
    <mergeCell ref="C907:C908"/>
    <mergeCell ref="O907:O908"/>
    <mergeCell ref="P907:P908"/>
    <mergeCell ref="Q907:R907"/>
    <mergeCell ref="Q908:R908"/>
    <mergeCell ref="Q901:R901"/>
    <mergeCell ref="B902:C902"/>
    <mergeCell ref="Q902:R902"/>
    <mergeCell ref="Q903:R903"/>
    <mergeCell ref="Q904:R904"/>
    <mergeCell ref="Q905:R905"/>
    <mergeCell ref="B896:C896"/>
    <mergeCell ref="Q896:R896"/>
    <mergeCell ref="Q897:R897"/>
    <mergeCell ref="Q898:R898"/>
    <mergeCell ref="Q899:R899"/>
    <mergeCell ref="Q900:R900"/>
    <mergeCell ref="Q892:R892"/>
    <mergeCell ref="Q893:R893"/>
    <mergeCell ref="B894:B895"/>
    <mergeCell ref="C894:C895"/>
    <mergeCell ref="O894:O895"/>
    <mergeCell ref="P894:P895"/>
    <mergeCell ref="Q894:R894"/>
    <mergeCell ref="Q895:R895"/>
    <mergeCell ref="Q887:R887"/>
    <mergeCell ref="Q888:R888"/>
    <mergeCell ref="B889:C889"/>
    <mergeCell ref="Q889:R889"/>
    <mergeCell ref="Q890:R890"/>
    <mergeCell ref="Q891:R891"/>
    <mergeCell ref="B882:C882"/>
    <mergeCell ref="Q882:R882"/>
    <mergeCell ref="Q883:R883"/>
    <mergeCell ref="Q884:R884"/>
    <mergeCell ref="Q885:R885"/>
    <mergeCell ref="Q886:R886"/>
    <mergeCell ref="Q878:R878"/>
    <mergeCell ref="Q879:R879"/>
    <mergeCell ref="B880:B881"/>
    <mergeCell ref="C880:C881"/>
    <mergeCell ref="O880:O881"/>
    <mergeCell ref="P880:P881"/>
    <mergeCell ref="Q880:R880"/>
    <mergeCell ref="Q881:R881"/>
    <mergeCell ref="Q873:R873"/>
    <mergeCell ref="Q874:R874"/>
    <mergeCell ref="B875:C875"/>
    <mergeCell ref="Q875:R875"/>
    <mergeCell ref="Q876:R876"/>
    <mergeCell ref="Q877:R877"/>
    <mergeCell ref="B868:C868"/>
    <mergeCell ref="Q868:R868"/>
    <mergeCell ref="Q869:R869"/>
    <mergeCell ref="Q870:R870"/>
    <mergeCell ref="Q871:R871"/>
    <mergeCell ref="Q872:R872"/>
    <mergeCell ref="Q865:R865"/>
    <mergeCell ref="B866:B867"/>
    <mergeCell ref="C866:C867"/>
    <mergeCell ref="O866:O867"/>
    <mergeCell ref="P866:P867"/>
    <mergeCell ref="Q866:R866"/>
    <mergeCell ref="Q867:R867"/>
    <mergeCell ref="Q860:R860"/>
    <mergeCell ref="B861:C861"/>
    <mergeCell ref="Q861:R861"/>
    <mergeCell ref="Q862:R862"/>
    <mergeCell ref="Q863:R863"/>
    <mergeCell ref="Q864:R864"/>
    <mergeCell ref="B855:C855"/>
    <mergeCell ref="Q855:R855"/>
    <mergeCell ref="Q856:R856"/>
    <mergeCell ref="Q857:R857"/>
    <mergeCell ref="Q858:R858"/>
    <mergeCell ref="Q859:R859"/>
    <mergeCell ref="Q852:R852"/>
    <mergeCell ref="B853:B854"/>
    <mergeCell ref="C853:C854"/>
    <mergeCell ref="O853:O854"/>
    <mergeCell ref="P853:P854"/>
    <mergeCell ref="Q853:R853"/>
    <mergeCell ref="Q854:R854"/>
    <mergeCell ref="Q847:R847"/>
    <mergeCell ref="B848:C848"/>
    <mergeCell ref="Q848:R848"/>
    <mergeCell ref="Q849:R849"/>
    <mergeCell ref="Q850:R850"/>
    <mergeCell ref="Q851:R851"/>
    <mergeCell ref="B842:C842"/>
    <mergeCell ref="Q842:R842"/>
    <mergeCell ref="Q843:R843"/>
    <mergeCell ref="Q844:R844"/>
    <mergeCell ref="Q845:R845"/>
    <mergeCell ref="Q846:R846"/>
    <mergeCell ref="Q839:R839"/>
    <mergeCell ref="B840:B841"/>
    <mergeCell ref="C840:C841"/>
    <mergeCell ref="O840:O841"/>
    <mergeCell ref="P840:P841"/>
    <mergeCell ref="Q840:R840"/>
    <mergeCell ref="Q841:R841"/>
    <mergeCell ref="Q834:R834"/>
    <mergeCell ref="B835:C835"/>
    <mergeCell ref="Q835:R835"/>
    <mergeCell ref="Q836:R836"/>
    <mergeCell ref="Q837:R837"/>
    <mergeCell ref="Q838:R838"/>
    <mergeCell ref="B829:C829"/>
    <mergeCell ref="Q829:R829"/>
    <mergeCell ref="Q830:R830"/>
    <mergeCell ref="Q831:R831"/>
    <mergeCell ref="Q832:R832"/>
    <mergeCell ref="Q833:R833"/>
    <mergeCell ref="Q826:R826"/>
    <mergeCell ref="B827:B828"/>
    <mergeCell ref="C827:C828"/>
    <mergeCell ref="O827:O828"/>
    <mergeCell ref="P827:P828"/>
    <mergeCell ref="Q827:R827"/>
    <mergeCell ref="Q828:R828"/>
    <mergeCell ref="Q821:R821"/>
    <mergeCell ref="B822:C822"/>
    <mergeCell ref="Q822:R822"/>
    <mergeCell ref="Q823:R823"/>
    <mergeCell ref="Q824:R824"/>
    <mergeCell ref="Q825:R825"/>
    <mergeCell ref="B816:C816"/>
    <mergeCell ref="Q816:R816"/>
    <mergeCell ref="Q817:R817"/>
    <mergeCell ref="Q818:R818"/>
    <mergeCell ref="Q819:R819"/>
    <mergeCell ref="Q820:R820"/>
    <mergeCell ref="Q813:R813"/>
    <mergeCell ref="B814:B815"/>
    <mergeCell ref="C814:C815"/>
    <mergeCell ref="O814:O815"/>
    <mergeCell ref="P814:P815"/>
    <mergeCell ref="Q814:R814"/>
    <mergeCell ref="Q815:R815"/>
    <mergeCell ref="Q808:R808"/>
    <mergeCell ref="B809:C809"/>
    <mergeCell ref="Q809:R809"/>
    <mergeCell ref="Q810:R810"/>
    <mergeCell ref="Q811:R811"/>
    <mergeCell ref="Q812:R812"/>
    <mergeCell ref="B803:C803"/>
    <mergeCell ref="Q803:R803"/>
    <mergeCell ref="Q804:R804"/>
    <mergeCell ref="Q805:R805"/>
    <mergeCell ref="Q806:R806"/>
    <mergeCell ref="Q807:R807"/>
    <mergeCell ref="Q799:R799"/>
    <mergeCell ref="Q800:R800"/>
    <mergeCell ref="B801:B802"/>
    <mergeCell ref="C801:C802"/>
    <mergeCell ref="O801:O802"/>
    <mergeCell ref="P801:P802"/>
    <mergeCell ref="Q801:R801"/>
    <mergeCell ref="Q802:R802"/>
    <mergeCell ref="Q794:R794"/>
    <mergeCell ref="B795:C795"/>
    <mergeCell ref="Q795:R795"/>
    <mergeCell ref="Q796:R796"/>
    <mergeCell ref="Q797:R797"/>
    <mergeCell ref="Q798:R798"/>
    <mergeCell ref="B789:C789"/>
    <mergeCell ref="Q789:R789"/>
    <mergeCell ref="Q790:R790"/>
    <mergeCell ref="Q791:R791"/>
    <mergeCell ref="Q792:R792"/>
    <mergeCell ref="Q793:R793"/>
    <mergeCell ref="Q786:R786"/>
    <mergeCell ref="B787:B788"/>
    <mergeCell ref="C787:C788"/>
    <mergeCell ref="O787:O788"/>
    <mergeCell ref="P787:P788"/>
    <mergeCell ref="Q787:R787"/>
    <mergeCell ref="Q788:R788"/>
    <mergeCell ref="Q781:R781"/>
    <mergeCell ref="Q782:R782"/>
    <mergeCell ref="B783:C783"/>
    <mergeCell ref="Q783:R783"/>
    <mergeCell ref="Q784:R784"/>
    <mergeCell ref="Q785:R785"/>
    <mergeCell ref="B776:C776"/>
    <mergeCell ref="Q776:R776"/>
    <mergeCell ref="Q777:R777"/>
    <mergeCell ref="Q778:R778"/>
    <mergeCell ref="Q779:R779"/>
    <mergeCell ref="Q780:R780"/>
    <mergeCell ref="Q772:R772"/>
    <mergeCell ref="Q773:R773"/>
    <mergeCell ref="B774:B775"/>
    <mergeCell ref="C774:C775"/>
    <mergeCell ref="O774:O775"/>
    <mergeCell ref="P774:P775"/>
    <mergeCell ref="Q774:R774"/>
    <mergeCell ref="Q775:R775"/>
    <mergeCell ref="Q767:R767"/>
    <mergeCell ref="Q768:R768"/>
    <mergeCell ref="B769:C769"/>
    <mergeCell ref="Q769:R769"/>
    <mergeCell ref="Q770:R770"/>
    <mergeCell ref="Q771:R771"/>
    <mergeCell ref="B762:C762"/>
    <mergeCell ref="Q762:R762"/>
    <mergeCell ref="Q763:R763"/>
    <mergeCell ref="Q764:R764"/>
    <mergeCell ref="Q765:R765"/>
    <mergeCell ref="Q766:R766"/>
    <mergeCell ref="Q759:R759"/>
    <mergeCell ref="B760:B761"/>
    <mergeCell ref="C760:C761"/>
    <mergeCell ref="O760:O761"/>
    <mergeCell ref="P760:P761"/>
    <mergeCell ref="Q760:R760"/>
    <mergeCell ref="Q761:R761"/>
    <mergeCell ref="Q754:R754"/>
    <mergeCell ref="B755:C755"/>
    <mergeCell ref="Q755:R755"/>
    <mergeCell ref="Q756:R756"/>
    <mergeCell ref="Q757:R757"/>
    <mergeCell ref="Q758:R758"/>
    <mergeCell ref="B749:C749"/>
    <mergeCell ref="Q749:R749"/>
    <mergeCell ref="Q750:R750"/>
    <mergeCell ref="Q751:R751"/>
    <mergeCell ref="Q752:R752"/>
    <mergeCell ref="Q753:R753"/>
    <mergeCell ref="S744:S745"/>
    <mergeCell ref="T744:T745"/>
    <mergeCell ref="Q745:R745"/>
    <mergeCell ref="Q746:R746"/>
    <mergeCell ref="B747:B748"/>
    <mergeCell ref="C747:C748"/>
    <mergeCell ref="O747:O748"/>
    <mergeCell ref="P747:P748"/>
    <mergeCell ref="Q747:R747"/>
    <mergeCell ref="Q748:R748"/>
    <mergeCell ref="Q740:R740"/>
    <mergeCell ref="Q741:R741"/>
    <mergeCell ref="B742:C742"/>
    <mergeCell ref="Q742:R742"/>
    <mergeCell ref="Q743:R743"/>
    <mergeCell ref="Q744:R744"/>
    <mergeCell ref="B735:C735"/>
    <mergeCell ref="Q735:R735"/>
    <mergeCell ref="Q736:R736"/>
    <mergeCell ref="Q737:R737"/>
    <mergeCell ref="Q738:R738"/>
    <mergeCell ref="Q739:R739"/>
    <mergeCell ref="Q731:R731"/>
    <mergeCell ref="Q732:R732"/>
    <mergeCell ref="B733:B734"/>
    <mergeCell ref="C733:C734"/>
    <mergeCell ref="O733:O734"/>
    <mergeCell ref="P733:P734"/>
    <mergeCell ref="Q733:R733"/>
    <mergeCell ref="Q734:R734"/>
    <mergeCell ref="Q726:R726"/>
    <mergeCell ref="Q727:R727"/>
    <mergeCell ref="B728:C728"/>
    <mergeCell ref="Q728:R728"/>
    <mergeCell ref="Q729:R729"/>
    <mergeCell ref="Q730:R730"/>
    <mergeCell ref="B721:C721"/>
    <mergeCell ref="Q721:R721"/>
    <mergeCell ref="Q722:R722"/>
    <mergeCell ref="Q723:R723"/>
    <mergeCell ref="Q724:R724"/>
    <mergeCell ref="Q725:R725"/>
    <mergeCell ref="Q718:R718"/>
    <mergeCell ref="S718:S719"/>
    <mergeCell ref="T718:T719"/>
    <mergeCell ref="B719:B720"/>
    <mergeCell ref="C719:C720"/>
    <mergeCell ref="O719:O720"/>
    <mergeCell ref="P719:P720"/>
    <mergeCell ref="Q719:R719"/>
    <mergeCell ref="Q720:R720"/>
    <mergeCell ref="Q713:R713"/>
    <mergeCell ref="B714:C714"/>
    <mergeCell ref="Q714:R714"/>
    <mergeCell ref="Q715:R715"/>
    <mergeCell ref="Q716:R716"/>
    <mergeCell ref="Q717:R717"/>
    <mergeCell ref="B708:C708"/>
    <mergeCell ref="Q708:R708"/>
    <mergeCell ref="Q709:R709"/>
    <mergeCell ref="Q710:R710"/>
    <mergeCell ref="Q711:R711"/>
    <mergeCell ref="Q712:R712"/>
    <mergeCell ref="Q705:R705"/>
    <mergeCell ref="B706:B707"/>
    <mergeCell ref="C706:C707"/>
    <mergeCell ref="O706:O707"/>
    <mergeCell ref="P706:P707"/>
    <mergeCell ref="Q706:R706"/>
    <mergeCell ref="Q707:R707"/>
    <mergeCell ref="Q700:R700"/>
    <mergeCell ref="B701:C701"/>
    <mergeCell ref="Q701:R701"/>
    <mergeCell ref="Q702:R702"/>
    <mergeCell ref="Q703:R703"/>
    <mergeCell ref="Q704:R704"/>
    <mergeCell ref="B695:C695"/>
    <mergeCell ref="Q695:R695"/>
    <mergeCell ref="Q696:R696"/>
    <mergeCell ref="Q697:R697"/>
    <mergeCell ref="Q698:R698"/>
    <mergeCell ref="Q699:R699"/>
    <mergeCell ref="Q692:R692"/>
    <mergeCell ref="B693:B694"/>
    <mergeCell ref="C693:C694"/>
    <mergeCell ref="O693:O694"/>
    <mergeCell ref="P693:P694"/>
    <mergeCell ref="Q693:R693"/>
    <mergeCell ref="Q694:R694"/>
    <mergeCell ref="Q687:R687"/>
    <mergeCell ref="B688:C688"/>
    <mergeCell ref="Q688:R688"/>
    <mergeCell ref="Q689:R689"/>
    <mergeCell ref="Q690:R690"/>
    <mergeCell ref="Q691:R691"/>
    <mergeCell ref="B682:C682"/>
    <mergeCell ref="Q682:R682"/>
    <mergeCell ref="Q683:R683"/>
    <mergeCell ref="Q684:R684"/>
    <mergeCell ref="Q685:R685"/>
    <mergeCell ref="Q686:R686"/>
    <mergeCell ref="Q679:R679"/>
    <mergeCell ref="B680:B681"/>
    <mergeCell ref="C680:C681"/>
    <mergeCell ref="O680:O681"/>
    <mergeCell ref="P680:P681"/>
    <mergeCell ref="Q680:R680"/>
    <mergeCell ref="Q681:R681"/>
    <mergeCell ref="Q674:R674"/>
    <mergeCell ref="B675:C675"/>
    <mergeCell ref="Q675:R675"/>
    <mergeCell ref="Q676:R676"/>
    <mergeCell ref="Q677:R677"/>
    <mergeCell ref="Q678:R678"/>
    <mergeCell ref="B669:C669"/>
    <mergeCell ref="Q669:R669"/>
    <mergeCell ref="Q670:R670"/>
    <mergeCell ref="Q671:R671"/>
    <mergeCell ref="Q672:R672"/>
    <mergeCell ref="Q673:R673"/>
    <mergeCell ref="Q665:R665"/>
    <mergeCell ref="Q666:R666"/>
    <mergeCell ref="B667:B668"/>
    <mergeCell ref="C667:C668"/>
    <mergeCell ref="O667:O668"/>
    <mergeCell ref="P667:P668"/>
    <mergeCell ref="Q667:R667"/>
    <mergeCell ref="Q668:R668"/>
    <mergeCell ref="Q660:R660"/>
    <mergeCell ref="Q661:R661"/>
    <mergeCell ref="B662:C662"/>
    <mergeCell ref="Q662:R662"/>
    <mergeCell ref="Q663:R663"/>
    <mergeCell ref="Q664:R664"/>
    <mergeCell ref="B655:C655"/>
    <mergeCell ref="Q655:R655"/>
    <mergeCell ref="Q656:R656"/>
    <mergeCell ref="Q657:R657"/>
    <mergeCell ref="Q658:R658"/>
    <mergeCell ref="Q659:R659"/>
    <mergeCell ref="Q652:R652"/>
    <mergeCell ref="B653:B654"/>
    <mergeCell ref="C653:C654"/>
    <mergeCell ref="O653:O654"/>
    <mergeCell ref="P653:P654"/>
    <mergeCell ref="Q653:R653"/>
    <mergeCell ref="Q654:R654"/>
    <mergeCell ref="Q647:R647"/>
    <mergeCell ref="B648:C648"/>
    <mergeCell ref="Q648:R648"/>
    <mergeCell ref="Q649:R649"/>
    <mergeCell ref="Q650:R650"/>
    <mergeCell ref="Q651:R651"/>
    <mergeCell ref="B642:C642"/>
    <mergeCell ref="Q642:R642"/>
    <mergeCell ref="Q643:R643"/>
    <mergeCell ref="Q644:R644"/>
    <mergeCell ref="Q645:R645"/>
    <mergeCell ref="Q646:R646"/>
    <mergeCell ref="Q639:R639"/>
    <mergeCell ref="B640:B641"/>
    <mergeCell ref="C640:C641"/>
    <mergeCell ref="O640:O641"/>
    <mergeCell ref="P640:P641"/>
    <mergeCell ref="Q640:R640"/>
    <mergeCell ref="Q641:R641"/>
    <mergeCell ref="Q634:R634"/>
    <mergeCell ref="B635:C635"/>
    <mergeCell ref="Q635:R635"/>
    <mergeCell ref="Q636:R636"/>
    <mergeCell ref="Q637:R637"/>
    <mergeCell ref="Q638:R638"/>
    <mergeCell ref="B629:C629"/>
    <mergeCell ref="Q629:R629"/>
    <mergeCell ref="Q630:R630"/>
    <mergeCell ref="Q631:R631"/>
    <mergeCell ref="Q632:R632"/>
    <mergeCell ref="Q633:R633"/>
    <mergeCell ref="Q625:R625"/>
    <mergeCell ref="Q626:R626"/>
    <mergeCell ref="B627:B628"/>
    <mergeCell ref="C627:C628"/>
    <mergeCell ref="O627:O628"/>
    <mergeCell ref="P627:P628"/>
    <mergeCell ref="Q627:R627"/>
    <mergeCell ref="Q628:R628"/>
    <mergeCell ref="Q620:R620"/>
    <mergeCell ref="Q621:R621"/>
    <mergeCell ref="B622:C622"/>
    <mergeCell ref="Q622:R622"/>
    <mergeCell ref="Q623:R623"/>
    <mergeCell ref="Q624:R624"/>
    <mergeCell ref="B615:C615"/>
    <mergeCell ref="Q615:R615"/>
    <mergeCell ref="Q616:R616"/>
    <mergeCell ref="Q617:R617"/>
    <mergeCell ref="Q618:R618"/>
    <mergeCell ref="Q619:R619"/>
    <mergeCell ref="Q612:R612"/>
    <mergeCell ref="B613:B614"/>
    <mergeCell ref="C613:C614"/>
    <mergeCell ref="O613:O614"/>
    <mergeCell ref="P613:P614"/>
    <mergeCell ref="Q613:R613"/>
    <mergeCell ref="Q614:R614"/>
    <mergeCell ref="Q607:R607"/>
    <mergeCell ref="B608:C608"/>
    <mergeCell ref="Q608:R608"/>
    <mergeCell ref="Q609:R609"/>
    <mergeCell ref="Q610:R610"/>
    <mergeCell ref="Q611:R611"/>
    <mergeCell ref="B602:C602"/>
    <mergeCell ref="Q602:R602"/>
    <mergeCell ref="Q603:R603"/>
    <mergeCell ref="Q604:R604"/>
    <mergeCell ref="Q605:R605"/>
    <mergeCell ref="Q606:R606"/>
    <mergeCell ref="Q598:R598"/>
    <mergeCell ref="Q599:R599"/>
    <mergeCell ref="B600:B601"/>
    <mergeCell ref="C600:C601"/>
    <mergeCell ref="O600:O601"/>
    <mergeCell ref="P600:P601"/>
    <mergeCell ref="Q600:R600"/>
    <mergeCell ref="Q601:R601"/>
    <mergeCell ref="Q593:R593"/>
    <mergeCell ref="Q594:R594"/>
    <mergeCell ref="B595:C595"/>
    <mergeCell ref="Q595:R595"/>
    <mergeCell ref="Q596:R596"/>
    <mergeCell ref="Q597:R597"/>
    <mergeCell ref="B588:C588"/>
    <mergeCell ref="Q588:R588"/>
    <mergeCell ref="Q589:R589"/>
    <mergeCell ref="Q590:R590"/>
    <mergeCell ref="Q591:R591"/>
    <mergeCell ref="Q592:R592"/>
    <mergeCell ref="Q583:R583"/>
    <mergeCell ref="Q584:R584"/>
    <mergeCell ref="Q585:R585"/>
    <mergeCell ref="B586:B587"/>
    <mergeCell ref="C586:C587"/>
    <mergeCell ref="O586:O587"/>
    <mergeCell ref="P586:P587"/>
    <mergeCell ref="Q586:R586"/>
    <mergeCell ref="Q587:R587"/>
    <mergeCell ref="Q578:R578"/>
    <mergeCell ref="Q579:R579"/>
    <mergeCell ref="Q580:R580"/>
    <mergeCell ref="B581:C581"/>
    <mergeCell ref="Q581:R581"/>
    <mergeCell ref="Q582:R582"/>
    <mergeCell ref="B573:C573"/>
    <mergeCell ref="Q573:R573"/>
    <mergeCell ref="Q574:R574"/>
    <mergeCell ref="Q575:R575"/>
    <mergeCell ref="Q576:R576"/>
    <mergeCell ref="Q577:R577"/>
    <mergeCell ref="Q569:R569"/>
    <mergeCell ref="Q570:R570"/>
    <mergeCell ref="B571:B572"/>
    <mergeCell ref="C571:C572"/>
    <mergeCell ref="O571:O572"/>
    <mergeCell ref="P571:P572"/>
    <mergeCell ref="Q571:R571"/>
    <mergeCell ref="Q572:R572"/>
    <mergeCell ref="Q564:R564"/>
    <mergeCell ref="Q565:R565"/>
    <mergeCell ref="B566:C566"/>
    <mergeCell ref="Q566:R566"/>
    <mergeCell ref="Q567:R567"/>
    <mergeCell ref="Q568:R568"/>
    <mergeCell ref="B559:C559"/>
    <mergeCell ref="Q559:R559"/>
    <mergeCell ref="Q560:R560"/>
    <mergeCell ref="Q561:R561"/>
    <mergeCell ref="Q562:R562"/>
    <mergeCell ref="Q563:R563"/>
    <mergeCell ref="Q555:R555"/>
    <mergeCell ref="Q556:R556"/>
    <mergeCell ref="B557:B558"/>
    <mergeCell ref="C557:C558"/>
    <mergeCell ref="O557:O558"/>
    <mergeCell ref="P557:P558"/>
    <mergeCell ref="Q557:R557"/>
    <mergeCell ref="Q558:R558"/>
    <mergeCell ref="Q550:R550"/>
    <mergeCell ref="Q551:R551"/>
    <mergeCell ref="B552:C552"/>
    <mergeCell ref="Q552:R552"/>
    <mergeCell ref="Q553:R553"/>
    <mergeCell ref="Q554:R554"/>
    <mergeCell ref="B545:C545"/>
    <mergeCell ref="Q545:R545"/>
    <mergeCell ref="Q546:R546"/>
    <mergeCell ref="Q547:R547"/>
    <mergeCell ref="Q548:R548"/>
    <mergeCell ref="Q549:R549"/>
    <mergeCell ref="Q541:R541"/>
    <mergeCell ref="Q542:R542"/>
    <mergeCell ref="B543:B544"/>
    <mergeCell ref="C543:C544"/>
    <mergeCell ref="O543:O544"/>
    <mergeCell ref="P543:P544"/>
    <mergeCell ref="Q543:R543"/>
    <mergeCell ref="Q544:R544"/>
    <mergeCell ref="Q536:R536"/>
    <mergeCell ref="Q537:R537"/>
    <mergeCell ref="B538:C538"/>
    <mergeCell ref="Q538:R538"/>
    <mergeCell ref="Q539:R539"/>
    <mergeCell ref="Q540:R540"/>
    <mergeCell ref="B531:C531"/>
    <mergeCell ref="Q531:R531"/>
    <mergeCell ref="Q532:R532"/>
    <mergeCell ref="Q533:R533"/>
    <mergeCell ref="Q534:R534"/>
    <mergeCell ref="Q535:R535"/>
    <mergeCell ref="Q527:R527"/>
    <mergeCell ref="Q528:R528"/>
    <mergeCell ref="B529:B530"/>
    <mergeCell ref="C529:C530"/>
    <mergeCell ref="O529:O530"/>
    <mergeCell ref="P529:P530"/>
    <mergeCell ref="Q529:R529"/>
    <mergeCell ref="Q530:R530"/>
    <mergeCell ref="Q522:R522"/>
    <mergeCell ref="Q523:R523"/>
    <mergeCell ref="B524:C524"/>
    <mergeCell ref="Q524:R524"/>
    <mergeCell ref="Q525:R525"/>
    <mergeCell ref="Q526:R526"/>
    <mergeCell ref="B517:C517"/>
    <mergeCell ref="Q517:R517"/>
    <mergeCell ref="Q518:R518"/>
    <mergeCell ref="Q519:R519"/>
    <mergeCell ref="Q520:R520"/>
    <mergeCell ref="Q521:R521"/>
    <mergeCell ref="Q513:R513"/>
    <mergeCell ref="Q514:R514"/>
    <mergeCell ref="B515:B516"/>
    <mergeCell ref="C515:C516"/>
    <mergeCell ref="O515:O516"/>
    <mergeCell ref="P515:P516"/>
    <mergeCell ref="Q515:R515"/>
    <mergeCell ref="Q516:R516"/>
    <mergeCell ref="Q508:R508"/>
    <mergeCell ref="Q509:R509"/>
    <mergeCell ref="B510:C510"/>
    <mergeCell ref="Q510:R510"/>
    <mergeCell ref="Q511:R511"/>
    <mergeCell ref="Q512:R512"/>
    <mergeCell ref="B503:C503"/>
    <mergeCell ref="Q503:R503"/>
    <mergeCell ref="Q504:R504"/>
    <mergeCell ref="Q505:R505"/>
    <mergeCell ref="Q506:R506"/>
    <mergeCell ref="Q507:R507"/>
    <mergeCell ref="Q498:R498"/>
    <mergeCell ref="Q499:R499"/>
    <mergeCell ref="Q500:R500"/>
    <mergeCell ref="B501:B502"/>
    <mergeCell ref="C501:C502"/>
    <mergeCell ref="O501:O502"/>
    <mergeCell ref="P501:P502"/>
    <mergeCell ref="Q501:R501"/>
    <mergeCell ref="Q502:R502"/>
    <mergeCell ref="Q493:R493"/>
    <mergeCell ref="Q494:R494"/>
    <mergeCell ref="B495:C495"/>
    <mergeCell ref="Q495:R495"/>
    <mergeCell ref="Q496:R496"/>
    <mergeCell ref="Q497:R497"/>
    <mergeCell ref="B488:C488"/>
    <mergeCell ref="Q488:R488"/>
    <mergeCell ref="Q489:R489"/>
    <mergeCell ref="Q490:R490"/>
    <mergeCell ref="Q491:R491"/>
    <mergeCell ref="Q492:R492"/>
    <mergeCell ref="Q485:R485"/>
    <mergeCell ref="B486:B487"/>
    <mergeCell ref="C486:C487"/>
    <mergeCell ref="O486:O487"/>
    <mergeCell ref="P486:P487"/>
    <mergeCell ref="Q486:R486"/>
    <mergeCell ref="Q487:R487"/>
    <mergeCell ref="Q480:R480"/>
    <mergeCell ref="B481:C481"/>
    <mergeCell ref="Q481:R481"/>
    <mergeCell ref="Q482:R482"/>
    <mergeCell ref="Q483:R483"/>
    <mergeCell ref="Q484:R484"/>
    <mergeCell ref="B475:C475"/>
    <mergeCell ref="Q475:R475"/>
    <mergeCell ref="Q476:R476"/>
    <mergeCell ref="Q477:R477"/>
    <mergeCell ref="Q478:R478"/>
    <mergeCell ref="Q479:R479"/>
    <mergeCell ref="Q471:R471"/>
    <mergeCell ref="Q472:R472"/>
    <mergeCell ref="B473:B474"/>
    <mergeCell ref="C473:C474"/>
    <mergeCell ref="O473:O474"/>
    <mergeCell ref="P473:P474"/>
    <mergeCell ref="Q473:R473"/>
    <mergeCell ref="Q474:R474"/>
    <mergeCell ref="Q466:R466"/>
    <mergeCell ref="Q467:R467"/>
    <mergeCell ref="B468:C468"/>
    <mergeCell ref="Q468:R468"/>
    <mergeCell ref="Q469:R469"/>
    <mergeCell ref="Q470:R470"/>
    <mergeCell ref="B461:C461"/>
    <mergeCell ref="Q461:R461"/>
    <mergeCell ref="Q462:R462"/>
    <mergeCell ref="Q463:R463"/>
    <mergeCell ref="Q464:R464"/>
    <mergeCell ref="Q465:R465"/>
    <mergeCell ref="Q457:R457"/>
    <mergeCell ref="Q458:R458"/>
    <mergeCell ref="B459:B460"/>
    <mergeCell ref="C459:C460"/>
    <mergeCell ref="O459:O460"/>
    <mergeCell ref="P459:P460"/>
    <mergeCell ref="Q459:R459"/>
    <mergeCell ref="Q460:R460"/>
    <mergeCell ref="Q452:R452"/>
    <mergeCell ref="B453:C453"/>
    <mergeCell ref="Q453:R453"/>
    <mergeCell ref="Q454:R454"/>
    <mergeCell ref="Q455:R455"/>
    <mergeCell ref="Q456:R456"/>
    <mergeCell ref="B447:C447"/>
    <mergeCell ref="Q447:R447"/>
    <mergeCell ref="Q448:R448"/>
    <mergeCell ref="Q449:R449"/>
    <mergeCell ref="Q450:R450"/>
    <mergeCell ref="Q451:R451"/>
    <mergeCell ref="Q443:R443"/>
    <mergeCell ref="Q444:R444"/>
    <mergeCell ref="B445:B446"/>
    <mergeCell ref="C445:C446"/>
    <mergeCell ref="O445:O446"/>
    <mergeCell ref="P445:P446"/>
    <mergeCell ref="Q445:R445"/>
    <mergeCell ref="Q446:R446"/>
    <mergeCell ref="Q438:R438"/>
    <mergeCell ref="B439:C439"/>
    <mergeCell ref="Q439:R439"/>
    <mergeCell ref="Q440:R440"/>
    <mergeCell ref="Q441:R441"/>
    <mergeCell ref="Q442:R442"/>
    <mergeCell ref="B433:C433"/>
    <mergeCell ref="Q433:R433"/>
    <mergeCell ref="Q434:R434"/>
    <mergeCell ref="Q435:R435"/>
    <mergeCell ref="Q436:R436"/>
    <mergeCell ref="Q437:R437"/>
    <mergeCell ref="Q429:R429"/>
    <mergeCell ref="Q430:R430"/>
    <mergeCell ref="B431:B432"/>
    <mergeCell ref="C431:C432"/>
    <mergeCell ref="O431:O432"/>
    <mergeCell ref="P431:P432"/>
    <mergeCell ref="Q431:R431"/>
    <mergeCell ref="Q432:R432"/>
    <mergeCell ref="Q424:R424"/>
    <mergeCell ref="Q425:R425"/>
    <mergeCell ref="B426:C426"/>
    <mergeCell ref="Q426:R426"/>
    <mergeCell ref="Q427:R427"/>
    <mergeCell ref="Q428:R428"/>
    <mergeCell ref="B419:C419"/>
    <mergeCell ref="Q419:R419"/>
    <mergeCell ref="Q420:R420"/>
    <mergeCell ref="Q421:R421"/>
    <mergeCell ref="Q422:R422"/>
    <mergeCell ref="Q423:R423"/>
    <mergeCell ref="Q414:R414"/>
    <mergeCell ref="Q415:R415"/>
    <mergeCell ref="Q416:R416"/>
    <mergeCell ref="B417:B418"/>
    <mergeCell ref="C417:C418"/>
    <mergeCell ref="O417:O418"/>
    <mergeCell ref="P417:P418"/>
    <mergeCell ref="Q417:R417"/>
    <mergeCell ref="Q418:R418"/>
    <mergeCell ref="Q409:R409"/>
    <mergeCell ref="Q410:R410"/>
    <mergeCell ref="B411:C411"/>
    <mergeCell ref="Q411:R411"/>
    <mergeCell ref="Q412:R412"/>
    <mergeCell ref="Q413:R413"/>
    <mergeCell ref="B404:C404"/>
    <mergeCell ref="Q404:R404"/>
    <mergeCell ref="Q405:R405"/>
    <mergeCell ref="Q406:R406"/>
    <mergeCell ref="Q407:R407"/>
    <mergeCell ref="Q408:R408"/>
    <mergeCell ref="Q400:R400"/>
    <mergeCell ref="Q401:R401"/>
    <mergeCell ref="B402:B403"/>
    <mergeCell ref="C402:C403"/>
    <mergeCell ref="O402:O403"/>
    <mergeCell ref="P402:P403"/>
    <mergeCell ref="Q402:R402"/>
    <mergeCell ref="Q403:R403"/>
    <mergeCell ref="Q395:R395"/>
    <mergeCell ref="B396:C396"/>
    <mergeCell ref="Q396:R396"/>
    <mergeCell ref="Q397:R397"/>
    <mergeCell ref="Q398:R398"/>
    <mergeCell ref="Q399:R399"/>
    <mergeCell ref="B390:C390"/>
    <mergeCell ref="Q390:R390"/>
    <mergeCell ref="Q391:R391"/>
    <mergeCell ref="Q392:R392"/>
    <mergeCell ref="Q393:R393"/>
    <mergeCell ref="Q394:R394"/>
    <mergeCell ref="Q386:R386"/>
    <mergeCell ref="Q387:R387"/>
    <mergeCell ref="B388:B389"/>
    <mergeCell ref="C388:C389"/>
    <mergeCell ref="O388:O389"/>
    <mergeCell ref="P388:P389"/>
    <mergeCell ref="Q388:R388"/>
    <mergeCell ref="Q389:R389"/>
    <mergeCell ref="Q381:R381"/>
    <mergeCell ref="Q382:R382"/>
    <mergeCell ref="B383:C383"/>
    <mergeCell ref="Q383:R383"/>
    <mergeCell ref="Q384:R384"/>
    <mergeCell ref="Q385:R385"/>
    <mergeCell ref="B376:C376"/>
    <mergeCell ref="Q376:R376"/>
    <mergeCell ref="Q377:R377"/>
    <mergeCell ref="Q378:R378"/>
    <mergeCell ref="Q379:R379"/>
    <mergeCell ref="Q380:R380"/>
    <mergeCell ref="Q372:R372"/>
    <mergeCell ref="Q373:R373"/>
    <mergeCell ref="B374:B375"/>
    <mergeCell ref="C374:C375"/>
    <mergeCell ref="O374:O375"/>
    <mergeCell ref="P374:P375"/>
    <mergeCell ref="Q374:R374"/>
    <mergeCell ref="Q375:R375"/>
    <mergeCell ref="Q367:R367"/>
    <mergeCell ref="B368:C368"/>
    <mergeCell ref="Q368:R368"/>
    <mergeCell ref="Q369:R369"/>
    <mergeCell ref="Q370:R370"/>
    <mergeCell ref="Q371:R371"/>
    <mergeCell ref="B362:C362"/>
    <mergeCell ref="Q362:R362"/>
    <mergeCell ref="Q363:R363"/>
    <mergeCell ref="Q364:R364"/>
    <mergeCell ref="Q365:R365"/>
    <mergeCell ref="Q366:R366"/>
    <mergeCell ref="Q357:R357"/>
    <mergeCell ref="Q358:R358"/>
    <mergeCell ref="Q359:R359"/>
    <mergeCell ref="B360:B361"/>
    <mergeCell ref="C360:C361"/>
    <mergeCell ref="O360:O361"/>
    <mergeCell ref="P360:P361"/>
    <mergeCell ref="Q360:R360"/>
    <mergeCell ref="Q361:R361"/>
    <mergeCell ref="Q352:R352"/>
    <mergeCell ref="Q353:R353"/>
    <mergeCell ref="B354:C354"/>
    <mergeCell ref="Q354:R354"/>
    <mergeCell ref="Q355:R355"/>
    <mergeCell ref="Q356:R356"/>
    <mergeCell ref="B347:C347"/>
    <mergeCell ref="Q347:R347"/>
    <mergeCell ref="Q348:R348"/>
    <mergeCell ref="Q349:R349"/>
    <mergeCell ref="Q350:R350"/>
    <mergeCell ref="Q351:R351"/>
    <mergeCell ref="Q343:R343"/>
    <mergeCell ref="Q344:R344"/>
    <mergeCell ref="B345:B346"/>
    <mergeCell ref="C345:C346"/>
    <mergeCell ref="O345:O346"/>
    <mergeCell ref="P345:P346"/>
    <mergeCell ref="Q345:R345"/>
    <mergeCell ref="Q346:R346"/>
    <mergeCell ref="Q338:R338"/>
    <mergeCell ref="B339:C339"/>
    <mergeCell ref="Q339:R339"/>
    <mergeCell ref="Q340:R340"/>
    <mergeCell ref="Q341:R341"/>
    <mergeCell ref="Q342:R342"/>
    <mergeCell ref="B333:C333"/>
    <mergeCell ref="Q333:R333"/>
    <mergeCell ref="Q334:R334"/>
    <mergeCell ref="Q335:R335"/>
    <mergeCell ref="Q336:R336"/>
    <mergeCell ref="Q337:R337"/>
    <mergeCell ref="Q328:R328"/>
    <mergeCell ref="Q329:R329"/>
    <mergeCell ref="Q330:R330"/>
    <mergeCell ref="B331:B332"/>
    <mergeCell ref="C331:C332"/>
    <mergeCell ref="O331:O332"/>
    <mergeCell ref="P331:P332"/>
    <mergeCell ref="Q331:R331"/>
    <mergeCell ref="Q332:R332"/>
    <mergeCell ref="Q323:R323"/>
    <mergeCell ref="Q324:R324"/>
    <mergeCell ref="B325:C325"/>
    <mergeCell ref="Q325:R325"/>
    <mergeCell ref="Q326:R326"/>
    <mergeCell ref="Q327:R327"/>
    <mergeCell ref="Q318:R318"/>
    <mergeCell ref="B319:C319"/>
    <mergeCell ref="Q319:R319"/>
    <mergeCell ref="Q320:R320"/>
    <mergeCell ref="Q321:R321"/>
    <mergeCell ref="Q322:R322"/>
    <mergeCell ref="Q312:R312"/>
    <mergeCell ref="Q313:R313"/>
    <mergeCell ref="Q314:R314"/>
    <mergeCell ref="Q315:R315"/>
    <mergeCell ref="Q316:R316"/>
    <mergeCell ref="B317:B318"/>
    <mergeCell ref="C317:C318"/>
    <mergeCell ref="O317:O318"/>
    <mergeCell ref="P317:P318"/>
    <mergeCell ref="Q317:R317"/>
    <mergeCell ref="Q307:R307"/>
    <mergeCell ref="Q308:R308"/>
    <mergeCell ref="Q309:R309"/>
    <mergeCell ref="Q310:R310"/>
    <mergeCell ref="B311:C311"/>
    <mergeCell ref="Q311:R311"/>
    <mergeCell ref="B302:C302"/>
    <mergeCell ref="Q302:R302"/>
    <mergeCell ref="Q303:R303"/>
    <mergeCell ref="Q304:R304"/>
    <mergeCell ref="Q305:R305"/>
    <mergeCell ref="Q306:R306"/>
    <mergeCell ref="Q298:R298"/>
    <mergeCell ref="Q299:R299"/>
    <mergeCell ref="B300:B301"/>
    <mergeCell ref="C300:C301"/>
    <mergeCell ref="O300:O301"/>
    <mergeCell ref="P300:P301"/>
    <mergeCell ref="Q300:R300"/>
    <mergeCell ref="Q301:R301"/>
    <mergeCell ref="Q293:R293"/>
    <mergeCell ref="B294:C294"/>
    <mergeCell ref="Q294:R294"/>
    <mergeCell ref="Q295:R295"/>
    <mergeCell ref="Q296:R296"/>
    <mergeCell ref="Q297:R297"/>
    <mergeCell ref="B288:C288"/>
    <mergeCell ref="Q288:R288"/>
    <mergeCell ref="Q289:R289"/>
    <mergeCell ref="Q290:R290"/>
    <mergeCell ref="Q291:R291"/>
    <mergeCell ref="Q292:R292"/>
    <mergeCell ref="Q283:R283"/>
    <mergeCell ref="Q284:R284"/>
    <mergeCell ref="Q285:R285"/>
    <mergeCell ref="B286:B287"/>
    <mergeCell ref="C286:C287"/>
    <mergeCell ref="O286:O287"/>
    <mergeCell ref="P286:P287"/>
    <mergeCell ref="Q286:R286"/>
    <mergeCell ref="Q287:R287"/>
    <mergeCell ref="Q278:R278"/>
    <mergeCell ref="Q279:R279"/>
    <mergeCell ref="B280:C280"/>
    <mergeCell ref="Q280:R280"/>
    <mergeCell ref="Q281:R281"/>
    <mergeCell ref="Q282:R282"/>
    <mergeCell ref="B273:C273"/>
    <mergeCell ref="Q273:R273"/>
    <mergeCell ref="Q274:R274"/>
    <mergeCell ref="Q275:R275"/>
    <mergeCell ref="Q276:R276"/>
    <mergeCell ref="Q277:R277"/>
    <mergeCell ref="Q267:R267"/>
    <mergeCell ref="Q268:R268"/>
    <mergeCell ref="Q269:R269"/>
    <mergeCell ref="Q270:R270"/>
    <mergeCell ref="B271:B272"/>
    <mergeCell ref="C271:C272"/>
    <mergeCell ref="O271:O272"/>
    <mergeCell ref="P271:P272"/>
    <mergeCell ref="Q271:R271"/>
    <mergeCell ref="Q272:R272"/>
    <mergeCell ref="Q262:R262"/>
    <mergeCell ref="Q263:R263"/>
    <mergeCell ref="Q264:R264"/>
    <mergeCell ref="B265:C265"/>
    <mergeCell ref="Q265:R265"/>
    <mergeCell ref="Q266:R266"/>
    <mergeCell ref="B257:C257"/>
    <mergeCell ref="Q257:R257"/>
    <mergeCell ref="Q258:R258"/>
    <mergeCell ref="Q259:R259"/>
    <mergeCell ref="Q260:R260"/>
    <mergeCell ref="Q261:R261"/>
    <mergeCell ref="Q253:R253"/>
    <mergeCell ref="Q254:R254"/>
    <mergeCell ref="B255:B256"/>
    <mergeCell ref="C255:C256"/>
    <mergeCell ref="O255:O256"/>
    <mergeCell ref="P255:P256"/>
    <mergeCell ref="Q255:R255"/>
    <mergeCell ref="Q256:R256"/>
    <mergeCell ref="Q248:R248"/>
    <mergeCell ref="Q249:R249"/>
    <mergeCell ref="B250:C250"/>
    <mergeCell ref="Q250:R250"/>
    <mergeCell ref="Q251:R251"/>
    <mergeCell ref="Q252:R252"/>
    <mergeCell ref="B243:C243"/>
    <mergeCell ref="Q243:R243"/>
    <mergeCell ref="Q244:R244"/>
    <mergeCell ref="Q245:R245"/>
    <mergeCell ref="Q246:R246"/>
    <mergeCell ref="Q247:R247"/>
    <mergeCell ref="Q239:R239"/>
    <mergeCell ref="Q240:R240"/>
    <mergeCell ref="B241:B242"/>
    <mergeCell ref="C241:C242"/>
    <mergeCell ref="O241:O242"/>
    <mergeCell ref="P241:P242"/>
    <mergeCell ref="Q241:R241"/>
    <mergeCell ref="Q242:R242"/>
    <mergeCell ref="Q234:R234"/>
    <mergeCell ref="Q235:R235"/>
    <mergeCell ref="B236:C236"/>
    <mergeCell ref="Q236:R236"/>
    <mergeCell ref="Q237:R237"/>
    <mergeCell ref="Q238:R238"/>
    <mergeCell ref="B229:C229"/>
    <mergeCell ref="Q229:R229"/>
    <mergeCell ref="Q230:R230"/>
    <mergeCell ref="Q231:R231"/>
    <mergeCell ref="Q232:R232"/>
    <mergeCell ref="Q233:R233"/>
    <mergeCell ref="Q224:R224"/>
    <mergeCell ref="Q225:R225"/>
    <mergeCell ref="Q226:R226"/>
    <mergeCell ref="B227:B228"/>
    <mergeCell ref="C227:C228"/>
    <mergeCell ref="O227:O228"/>
    <mergeCell ref="P227:P228"/>
    <mergeCell ref="Q227:R227"/>
    <mergeCell ref="Q228:R228"/>
    <mergeCell ref="Q219:R219"/>
    <mergeCell ref="Q220:R220"/>
    <mergeCell ref="B221:C221"/>
    <mergeCell ref="Q221:R221"/>
    <mergeCell ref="Q222:R222"/>
    <mergeCell ref="Q223:R223"/>
    <mergeCell ref="B214:C214"/>
    <mergeCell ref="Q214:R214"/>
    <mergeCell ref="Q215:R215"/>
    <mergeCell ref="Q216:R216"/>
    <mergeCell ref="Q217:R217"/>
    <mergeCell ref="Q218:R218"/>
    <mergeCell ref="Q211:R211"/>
    <mergeCell ref="B212:B213"/>
    <mergeCell ref="C212:C213"/>
    <mergeCell ref="O212:O213"/>
    <mergeCell ref="P212:P213"/>
    <mergeCell ref="Q212:R212"/>
    <mergeCell ref="Q213:R213"/>
    <mergeCell ref="Q206:R206"/>
    <mergeCell ref="B207:C207"/>
    <mergeCell ref="Q207:R207"/>
    <mergeCell ref="Q208:R208"/>
    <mergeCell ref="Q209:R209"/>
    <mergeCell ref="Q210:R210"/>
    <mergeCell ref="B201:C201"/>
    <mergeCell ref="Q201:R201"/>
    <mergeCell ref="Q202:R202"/>
    <mergeCell ref="Q203:R203"/>
    <mergeCell ref="Q204:R204"/>
    <mergeCell ref="Q205:R205"/>
    <mergeCell ref="B199:B200"/>
    <mergeCell ref="C199:C200"/>
    <mergeCell ref="O199:O200"/>
    <mergeCell ref="P199:P200"/>
    <mergeCell ref="Q199:R199"/>
    <mergeCell ref="Q200:R200"/>
    <mergeCell ref="Q194:R194"/>
    <mergeCell ref="B195:C195"/>
    <mergeCell ref="Q195:R195"/>
    <mergeCell ref="Q196:R196"/>
    <mergeCell ref="Q197:R197"/>
    <mergeCell ref="Q198:R198"/>
    <mergeCell ref="B189:C189"/>
    <mergeCell ref="Q189:R189"/>
    <mergeCell ref="Q190:R190"/>
    <mergeCell ref="Q191:R191"/>
    <mergeCell ref="Q192:R192"/>
    <mergeCell ref="Q193:R193"/>
    <mergeCell ref="Q184:R184"/>
    <mergeCell ref="Q185:R185"/>
    <mergeCell ref="Q186:R186"/>
    <mergeCell ref="B187:B188"/>
    <mergeCell ref="C187:C188"/>
    <mergeCell ref="O187:O188"/>
    <mergeCell ref="P187:P188"/>
    <mergeCell ref="Q187:R187"/>
    <mergeCell ref="Q188:R188"/>
    <mergeCell ref="Q179:R179"/>
    <mergeCell ref="Q180:R180"/>
    <mergeCell ref="Q181:R181"/>
    <mergeCell ref="B182:C182"/>
    <mergeCell ref="Q182:R182"/>
    <mergeCell ref="Q183:R183"/>
    <mergeCell ref="B174:C174"/>
    <mergeCell ref="Q174:R174"/>
    <mergeCell ref="Q175:R175"/>
    <mergeCell ref="Q176:R176"/>
    <mergeCell ref="Q177:R177"/>
    <mergeCell ref="Q178:R178"/>
    <mergeCell ref="Q171:R171"/>
    <mergeCell ref="B172:B173"/>
    <mergeCell ref="C172:C173"/>
    <mergeCell ref="O172:O173"/>
    <mergeCell ref="P172:P173"/>
    <mergeCell ref="Q172:R172"/>
    <mergeCell ref="Q173:R173"/>
    <mergeCell ref="Q166:R166"/>
    <mergeCell ref="B167:C167"/>
    <mergeCell ref="Q167:R167"/>
    <mergeCell ref="Q168:R168"/>
    <mergeCell ref="Q169:R169"/>
    <mergeCell ref="Q170:R170"/>
    <mergeCell ref="B161:C161"/>
    <mergeCell ref="Q161:R161"/>
    <mergeCell ref="Q162:R162"/>
    <mergeCell ref="Q163:R163"/>
    <mergeCell ref="Q164:R164"/>
    <mergeCell ref="Q165:R165"/>
    <mergeCell ref="Q158:R158"/>
    <mergeCell ref="B159:B160"/>
    <mergeCell ref="C159:C160"/>
    <mergeCell ref="O159:O160"/>
    <mergeCell ref="P159:P160"/>
    <mergeCell ref="Q159:R159"/>
    <mergeCell ref="Q160:R160"/>
    <mergeCell ref="Q153:R153"/>
    <mergeCell ref="B154:C154"/>
    <mergeCell ref="Q154:R154"/>
    <mergeCell ref="Q155:R155"/>
    <mergeCell ref="Q156:R156"/>
    <mergeCell ref="Q157:R157"/>
    <mergeCell ref="B148:C148"/>
    <mergeCell ref="Q148:R148"/>
    <mergeCell ref="Q149:R149"/>
    <mergeCell ref="Q150:R150"/>
    <mergeCell ref="Q151:R151"/>
    <mergeCell ref="Q152:R152"/>
    <mergeCell ref="Q145:R145"/>
    <mergeCell ref="B146:B147"/>
    <mergeCell ref="C146:C147"/>
    <mergeCell ref="O146:O147"/>
    <mergeCell ref="P146:P147"/>
    <mergeCell ref="Q146:R146"/>
    <mergeCell ref="Q147:R147"/>
    <mergeCell ref="Q140:R140"/>
    <mergeCell ref="B141:C141"/>
    <mergeCell ref="Q141:R141"/>
    <mergeCell ref="Q142:R142"/>
    <mergeCell ref="Q143:R143"/>
    <mergeCell ref="Q144:R144"/>
    <mergeCell ref="B135:C135"/>
    <mergeCell ref="Q135:R135"/>
    <mergeCell ref="Q136:R136"/>
    <mergeCell ref="Q137:R137"/>
    <mergeCell ref="Q138:R138"/>
    <mergeCell ref="Q139:R139"/>
    <mergeCell ref="Q130:R130"/>
    <mergeCell ref="Q131:R131"/>
    <mergeCell ref="Q132:R132"/>
    <mergeCell ref="B133:B134"/>
    <mergeCell ref="C133:C134"/>
    <mergeCell ref="O133:O134"/>
    <mergeCell ref="P133:P134"/>
    <mergeCell ref="Q133:R133"/>
    <mergeCell ref="Q134:R134"/>
    <mergeCell ref="Q125:R125"/>
    <mergeCell ref="Q126:R126"/>
    <mergeCell ref="Q127:R127"/>
    <mergeCell ref="B128:C128"/>
    <mergeCell ref="Q128:R128"/>
    <mergeCell ref="Q129:R129"/>
    <mergeCell ref="B120:C120"/>
    <mergeCell ref="Q120:R120"/>
    <mergeCell ref="Q121:R121"/>
    <mergeCell ref="Q122:R122"/>
    <mergeCell ref="Q123:R123"/>
    <mergeCell ref="Q124:R124"/>
    <mergeCell ref="Q115:R115"/>
    <mergeCell ref="Q116:R116"/>
    <mergeCell ref="Q117:R117"/>
    <mergeCell ref="B118:B119"/>
    <mergeCell ref="C118:C119"/>
    <mergeCell ref="O118:O119"/>
    <mergeCell ref="P118:P119"/>
    <mergeCell ref="Q118:R118"/>
    <mergeCell ref="Q119:R119"/>
    <mergeCell ref="Q110:R110"/>
    <mergeCell ref="Q111:R111"/>
    <mergeCell ref="B112:C112"/>
    <mergeCell ref="Q112:R112"/>
    <mergeCell ref="Q113:R113"/>
    <mergeCell ref="Q114:R114"/>
    <mergeCell ref="B105:C105"/>
    <mergeCell ref="Q105:R105"/>
    <mergeCell ref="Q106:R106"/>
    <mergeCell ref="Q107:R107"/>
    <mergeCell ref="Q108:R108"/>
    <mergeCell ref="Q109:R109"/>
    <mergeCell ref="Q102:R102"/>
    <mergeCell ref="B103:B104"/>
    <mergeCell ref="C103:C104"/>
    <mergeCell ref="O103:O104"/>
    <mergeCell ref="P103:P104"/>
    <mergeCell ref="Q103:R103"/>
    <mergeCell ref="Q104:R104"/>
    <mergeCell ref="Q97:R97"/>
    <mergeCell ref="B98:C98"/>
    <mergeCell ref="Q98:R98"/>
    <mergeCell ref="Q99:R99"/>
    <mergeCell ref="Q100:R100"/>
    <mergeCell ref="Q101:R101"/>
    <mergeCell ref="B92:C92"/>
    <mergeCell ref="Q92:R92"/>
    <mergeCell ref="Q93:R93"/>
    <mergeCell ref="Q94:R94"/>
    <mergeCell ref="Q95:R95"/>
    <mergeCell ref="Q96:R96"/>
    <mergeCell ref="Q88:R88"/>
    <mergeCell ref="Q89:R89"/>
    <mergeCell ref="B90:B91"/>
    <mergeCell ref="C90:C91"/>
    <mergeCell ref="O90:O91"/>
    <mergeCell ref="P90:P91"/>
    <mergeCell ref="Q90:R90"/>
    <mergeCell ref="Q91:R91"/>
    <mergeCell ref="Q83:R83"/>
    <mergeCell ref="Q84:R84"/>
    <mergeCell ref="B85:C85"/>
    <mergeCell ref="Q85:R85"/>
    <mergeCell ref="Q86:R86"/>
    <mergeCell ref="Q87:R87"/>
    <mergeCell ref="B78:C78"/>
    <mergeCell ref="Q78:R78"/>
    <mergeCell ref="Q79:R79"/>
    <mergeCell ref="Q80:R80"/>
    <mergeCell ref="Q81:R81"/>
    <mergeCell ref="Q82:R82"/>
    <mergeCell ref="Q74:R74"/>
    <mergeCell ref="Q75:R75"/>
    <mergeCell ref="B76:B77"/>
    <mergeCell ref="C76:C77"/>
    <mergeCell ref="O76:O77"/>
    <mergeCell ref="P76:P77"/>
    <mergeCell ref="Q76:R76"/>
    <mergeCell ref="Q77:R77"/>
    <mergeCell ref="Q69:R69"/>
    <mergeCell ref="Q70:R70"/>
    <mergeCell ref="B71:C71"/>
    <mergeCell ref="Q71:R71"/>
    <mergeCell ref="Q72:R72"/>
    <mergeCell ref="Q73:R73"/>
    <mergeCell ref="B64:C64"/>
    <mergeCell ref="Q64:R64"/>
    <mergeCell ref="Q65:R65"/>
    <mergeCell ref="Q66:R66"/>
    <mergeCell ref="Q67:R67"/>
    <mergeCell ref="Q68:R68"/>
    <mergeCell ref="Q61:R61"/>
    <mergeCell ref="B62:B63"/>
    <mergeCell ref="C62:C63"/>
    <mergeCell ref="O62:O63"/>
    <mergeCell ref="P62:P63"/>
    <mergeCell ref="Q62:R62"/>
    <mergeCell ref="Q63:R63"/>
    <mergeCell ref="Q56:R56"/>
    <mergeCell ref="B57:C57"/>
    <mergeCell ref="Q57:R57"/>
    <mergeCell ref="Q58:R58"/>
    <mergeCell ref="Q59:R59"/>
    <mergeCell ref="Q60:R60"/>
    <mergeCell ref="B51:C51"/>
    <mergeCell ref="Q51:R51"/>
    <mergeCell ref="Q52:R52"/>
    <mergeCell ref="Q53:R53"/>
    <mergeCell ref="Q54:R54"/>
    <mergeCell ref="Q55:R55"/>
    <mergeCell ref="Q47:R47"/>
    <mergeCell ref="Q48:R48"/>
    <mergeCell ref="B49:B50"/>
    <mergeCell ref="C49:C50"/>
    <mergeCell ref="O49:O50"/>
    <mergeCell ref="P49:P50"/>
    <mergeCell ref="Q49:R49"/>
    <mergeCell ref="Q50:R50"/>
    <mergeCell ref="Q42:R42"/>
    <mergeCell ref="Q43:R43"/>
    <mergeCell ref="B44:C44"/>
    <mergeCell ref="Q44:R44"/>
    <mergeCell ref="Q45:R45"/>
    <mergeCell ref="Q46:R46"/>
    <mergeCell ref="B37:C37"/>
    <mergeCell ref="Q37:R37"/>
    <mergeCell ref="Q38:R38"/>
    <mergeCell ref="Q39:R39"/>
    <mergeCell ref="Q40:R40"/>
    <mergeCell ref="Q41:R41"/>
    <mergeCell ref="Q34:R34"/>
    <mergeCell ref="B35:B36"/>
    <mergeCell ref="C35:C36"/>
    <mergeCell ref="O35:O36"/>
    <mergeCell ref="P35:P36"/>
    <mergeCell ref="Q35:R35"/>
    <mergeCell ref="Q36:R36"/>
    <mergeCell ref="Q29:R29"/>
    <mergeCell ref="B30:C30"/>
    <mergeCell ref="Q30:R30"/>
    <mergeCell ref="Q31:R31"/>
    <mergeCell ref="Q32:R32"/>
    <mergeCell ref="Q33:R33"/>
    <mergeCell ref="B24:C24"/>
    <mergeCell ref="Q24:R24"/>
    <mergeCell ref="Q25:R25"/>
    <mergeCell ref="Q26:R26"/>
    <mergeCell ref="Q27:R27"/>
    <mergeCell ref="Q28:R28"/>
    <mergeCell ref="Q19:R19"/>
    <mergeCell ref="Q20:R20"/>
    <mergeCell ref="Q21:R21"/>
    <mergeCell ref="B22:B23"/>
    <mergeCell ref="C22:C23"/>
    <mergeCell ref="O22:O23"/>
    <mergeCell ref="P22:P23"/>
    <mergeCell ref="Q22:R22"/>
    <mergeCell ref="Q23:R23"/>
    <mergeCell ref="Q14:R14"/>
    <mergeCell ref="Q15:R15"/>
    <mergeCell ref="B16:C16"/>
    <mergeCell ref="Q16:R16"/>
    <mergeCell ref="Q17:R17"/>
    <mergeCell ref="Q18:R18"/>
    <mergeCell ref="B9:C9"/>
    <mergeCell ref="Q9:R9"/>
    <mergeCell ref="Q10:R10"/>
    <mergeCell ref="Q11:R11"/>
    <mergeCell ref="Q12:R12"/>
    <mergeCell ref="Q13:R13"/>
    <mergeCell ref="Q6:R6"/>
    <mergeCell ref="B7:B8"/>
    <mergeCell ref="C7:C8"/>
    <mergeCell ref="O7:O8"/>
    <mergeCell ref="P7:P8"/>
    <mergeCell ref="Q7:R7"/>
    <mergeCell ref="Q8:R8"/>
    <mergeCell ref="Q1:R1"/>
    <mergeCell ref="C2:L2"/>
    <mergeCell ref="Q2:R2"/>
    <mergeCell ref="Q3:R3"/>
    <mergeCell ref="Q4:R4"/>
    <mergeCell ref="Q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1683-144C-4B34-95C1-82AAC36EE444}">
  <dimension ref="A1:AB504"/>
  <sheetViews>
    <sheetView topLeftCell="C502" zoomScale="55" zoomScaleNormal="55" workbookViewId="0">
      <selection activeCell="S5" sqref="S5:S502"/>
    </sheetView>
  </sheetViews>
  <sheetFormatPr defaultRowHeight="14.4" x14ac:dyDescent="0.3"/>
  <cols>
    <col min="1" max="1" width="0" hidden="1" customWidth="1"/>
    <col min="2" max="2" width="3.109375" hidden="1" customWidth="1"/>
    <col min="3" max="3" width="4.33203125" bestFit="1" customWidth="1"/>
    <col min="4" max="4" width="12.6640625" bestFit="1" customWidth="1"/>
    <col min="5" max="5" width="50.88671875" bestFit="1" customWidth="1"/>
    <col min="6" max="6" width="6.77734375" bestFit="1" customWidth="1"/>
    <col min="7" max="7" width="10.88671875" bestFit="1" customWidth="1"/>
    <col min="8" max="8" width="11.33203125" bestFit="1" customWidth="1"/>
    <col min="9" max="9" width="14.5546875" bestFit="1" customWidth="1"/>
    <col min="10" max="10" width="8.33203125" bestFit="1" customWidth="1"/>
    <col min="11" max="11" width="12.109375" bestFit="1" customWidth="1"/>
    <col min="12" max="12" width="8.21875" bestFit="1" customWidth="1"/>
    <col min="13" max="13" width="8.44140625" bestFit="1" customWidth="1"/>
    <col min="14" max="14" width="8.6640625" bestFit="1" customWidth="1"/>
    <col min="15" max="15" width="8" bestFit="1" customWidth="1"/>
    <col min="17" max="17" width="8.33203125" bestFit="1" customWidth="1"/>
    <col min="18" max="18" width="5.6640625" bestFit="1" customWidth="1"/>
    <col min="19" max="19" width="8.33203125" bestFit="1" customWidth="1"/>
    <col min="20" max="20" width="55" bestFit="1" customWidth="1"/>
  </cols>
  <sheetData>
    <row r="1" spans="1:28" x14ac:dyDescent="0.3">
      <c r="A1" s="1"/>
      <c r="B1" s="1"/>
      <c r="C1" s="1"/>
      <c r="D1" s="1"/>
      <c r="E1" s="1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42" x14ac:dyDescent="0.3">
      <c r="A2" s="1"/>
      <c r="B2" s="55" t="s">
        <v>3</v>
      </c>
      <c r="C2" s="55" t="s">
        <v>3</v>
      </c>
      <c r="D2" s="362" t="s">
        <v>612</v>
      </c>
      <c r="E2" s="55" t="s">
        <v>4</v>
      </c>
      <c r="F2" s="55" t="s">
        <v>614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10" t="s">
        <v>10</v>
      </c>
      <c r="M2" s="10" t="s">
        <v>11</v>
      </c>
      <c r="N2" s="11" t="s">
        <v>12</v>
      </c>
      <c r="O2" s="10" t="s">
        <v>13</v>
      </c>
      <c r="P2" s="11" t="s">
        <v>14</v>
      </c>
      <c r="Q2" s="10" t="s">
        <v>15</v>
      </c>
      <c r="R2" s="57" t="s">
        <v>16</v>
      </c>
      <c r="S2" s="57" t="s">
        <v>17</v>
      </c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 s="1"/>
      <c r="B3" s="56"/>
      <c r="C3" s="56"/>
      <c r="D3" s="362"/>
      <c r="E3" s="56"/>
      <c r="F3" s="56"/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 t="s">
        <v>18</v>
      </c>
      <c r="M3" s="13" t="s">
        <v>18</v>
      </c>
      <c r="N3" s="13" t="s">
        <v>18</v>
      </c>
      <c r="O3" s="13" t="s">
        <v>18</v>
      </c>
      <c r="P3" s="13" t="s">
        <v>18</v>
      </c>
      <c r="Q3" s="13" t="s">
        <v>19</v>
      </c>
      <c r="R3" s="58"/>
      <c r="S3" s="58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1"/>
      <c r="B4" s="363"/>
      <c r="C4" s="363"/>
      <c r="D4" s="363"/>
      <c r="E4" s="43" t="s">
        <v>20</v>
      </c>
      <c r="F4" s="43"/>
      <c r="G4" s="16">
        <v>0.1</v>
      </c>
      <c r="H4" s="16">
        <v>0.05</v>
      </c>
      <c r="I4" s="16">
        <v>0.1</v>
      </c>
      <c r="J4" s="16">
        <v>0.1</v>
      </c>
      <c r="K4" s="16">
        <v>0.05</v>
      </c>
      <c r="L4" s="17">
        <v>0.1</v>
      </c>
      <c r="M4" s="17">
        <v>0.35</v>
      </c>
      <c r="N4" s="17">
        <v>0.08</v>
      </c>
      <c r="O4" s="17">
        <v>0.02</v>
      </c>
      <c r="P4" s="17">
        <v>0.05</v>
      </c>
      <c r="Q4" s="19">
        <v>1</v>
      </c>
      <c r="R4" s="20"/>
      <c r="S4" s="22"/>
      <c r="T4" s="1"/>
      <c r="U4" s="1"/>
      <c r="V4" s="1"/>
      <c r="W4" s="1"/>
      <c r="X4" s="1"/>
      <c r="Y4" s="1"/>
      <c r="Z4" s="1"/>
      <c r="AA4" s="1"/>
      <c r="AB4" s="1"/>
    </row>
    <row r="5" spans="1:28" ht="18" x14ac:dyDescent="0.3">
      <c r="A5" s="1"/>
      <c r="B5" s="364">
        <v>1</v>
      </c>
      <c r="C5" s="68">
        <v>1</v>
      </c>
      <c r="D5" s="69">
        <v>80667640</v>
      </c>
      <c r="E5" s="69" t="s">
        <v>21</v>
      </c>
      <c r="F5" s="24" t="s">
        <v>668</v>
      </c>
      <c r="G5" s="365">
        <v>1</v>
      </c>
      <c r="H5" s="365">
        <v>1</v>
      </c>
      <c r="I5" s="365">
        <v>1</v>
      </c>
      <c r="J5" s="365">
        <v>1</v>
      </c>
      <c r="K5" s="365">
        <v>1</v>
      </c>
      <c r="L5" s="365">
        <v>0.99850000000000005</v>
      </c>
      <c r="M5" s="365">
        <v>1</v>
      </c>
      <c r="N5" s="365">
        <v>1</v>
      </c>
      <c r="O5" s="365">
        <v>0</v>
      </c>
      <c r="P5" s="365">
        <v>1</v>
      </c>
      <c r="Q5" s="366">
        <v>0.97989999999999999</v>
      </c>
      <c r="R5" s="367">
        <v>0</v>
      </c>
      <c r="S5" s="366">
        <v>0.97989999999999999</v>
      </c>
      <c r="T5" s="1"/>
      <c r="U5" s="1"/>
      <c r="V5" s="1"/>
      <c r="W5" s="1"/>
      <c r="X5" s="1"/>
      <c r="Y5" s="1"/>
      <c r="Z5" s="1"/>
      <c r="AA5" s="1"/>
      <c r="AB5" s="1"/>
    </row>
    <row r="6" spans="1:28" ht="18" x14ac:dyDescent="0.3">
      <c r="A6" s="1"/>
      <c r="B6" s="364">
        <v>2</v>
      </c>
      <c r="C6" s="68">
        <v>2</v>
      </c>
      <c r="D6" s="69">
        <v>80668919</v>
      </c>
      <c r="E6" s="69" t="s">
        <v>22</v>
      </c>
      <c r="F6" s="24" t="s">
        <v>668</v>
      </c>
      <c r="G6" s="365">
        <v>0.98</v>
      </c>
      <c r="H6" s="365">
        <v>1</v>
      </c>
      <c r="I6" s="365">
        <v>1</v>
      </c>
      <c r="J6" s="365">
        <v>1</v>
      </c>
      <c r="K6" s="365">
        <v>1</v>
      </c>
      <c r="L6" s="365">
        <v>1</v>
      </c>
      <c r="M6" s="365">
        <v>0.8</v>
      </c>
      <c r="N6" s="365">
        <v>1</v>
      </c>
      <c r="O6" s="365">
        <v>1</v>
      </c>
      <c r="P6" s="365">
        <v>1</v>
      </c>
      <c r="Q6" s="366">
        <v>0.92800000000000005</v>
      </c>
      <c r="R6" s="367">
        <v>0</v>
      </c>
      <c r="S6" s="366">
        <v>0.92800000000000005</v>
      </c>
      <c r="T6" s="391">
        <f>AVERAGE(S5:S502)</f>
        <v>0.92674245472837102</v>
      </c>
      <c r="U6" s="1"/>
      <c r="V6" s="1"/>
      <c r="W6" s="1"/>
      <c r="X6" s="1"/>
      <c r="Y6" s="1"/>
      <c r="Z6" s="1"/>
      <c r="AA6" s="1"/>
      <c r="AB6" s="1"/>
    </row>
    <row r="7" spans="1:28" ht="18" x14ac:dyDescent="0.3">
      <c r="A7" s="1"/>
      <c r="B7" s="364">
        <v>3</v>
      </c>
      <c r="C7" s="68">
        <v>3</v>
      </c>
      <c r="D7" s="69">
        <v>80670964</v>
      </c>
      <c r="E7" s="69" t="s">
        <v>23</v>
      </c>
      <c r="F7" s="24" t="s">
        <v>668</v>
      </c>
      <c r="G7" s="365">
        <v>1</v>
      </c>
      <c r="H7" s="365">
        <v>0.98</v>
      </c>
      <c r="I7" s="365">
        <v>1</v>
      </c>
      <c r="J7" s="365">
        <v>1</v>
      </c>
      <c r="K7" s="365">
        <v>1</v>
      </c>
      <c r="L7" s="365">
        <v>1</v>
      </c>
      <c r="M7" s="365">
        <v>1</v>
      </c>
      <c r="N7" s="365">
        <v>1</v>
      </c>
      <c r="O7" s="365">
        <v>0</v>
      </c>
      <c r="P7" s="365">
        <v>0.5</v>
      </c>
      <c r="Q7" s="366">
        <v>0.95399999999999996</v>
      </c>
      <c r="R7" s="367">
        <v>0</v>
      </c>
      <c r="S7" s="366">
        <v>0.95399999999999996</v>
      </c>
      <c r="T7" s="1"/>
      <c r="U7" s="1"/>
      <c r="V7" s="1"/>
      <c r="W7" s="1"/>
      <c r="X7" s="1"/>
      <c r="Y7" s="1"/>
      <c r="Z7" s="1"/>
      <c r="AA7" s="1"/>
      <c r="AB7" s="1"/>
    </row>
    <row r="8" spans="1:28" ht="18" x14ac:dyDescent="0.3">
      <c r="A8" s="1"/>
      <c r="B8" s="364">
        <v>4</v>
      </c>
      <c r="C8" s="68">
        <v>4</v>
      </c>
      <c r="D8" s="69">
        <v>80659773</v>
      </c>
      <c r="E8" s="69" t="s">
        <v>24</v>
      </c>
      <c r="F8" s="24" t="s">
        <v>668</v>
      </c>
      <c r="G8" s="365">
        <v>1</v>
      </c>
      <c r="H8" s="365">
        <v>1</v>
      </c>
      <c r="I8" s="365">
        <v>1</v>
      </c>
      <c r="J8" s="365">
        <v>0.97760000000000002</v>
      </c>
      <c r="K8" s="365">
        <v>1</v>
      </c>
      <c r="L8" s="365">
        <v>0.98960000000000004</v>
      </c>
      <c r="M8" s="365">
        <v>0.8</v>
      </c>
      <c r="N8" s="365">
        <v>0.5</v>
      </c>
      <c r="O8" s="365">
        <v>0</v>
      </c>
      <c r="P8" s="365">
        <v>1</v>
      </c>
      <c r="Q8" s="366">
        <v>0.86670000000000003</v>
      </c>
      <c r="R8" s="367">
        <v>0</v>
      </c>
      <c r="S8" s="366">
        <v>0.86670000000000003</v>
      </c>
      <c r="T8" s="1"/>
      <c r="U8" s="1"/>
      <c r="V8" s="1"/>
      <c r="W8" s="1"/>
      <c r="X8" s="1"/>
      <c r="Y8" s="1"/>
      <c r="Z8" s="1"/>
      <c r="AA8" s="1"/>
      <c r="AB8" s="1"/>
    </row>
    <row r="9" spans="1:28" ht="18" x14ac:dyDescent="0.3">
      <c r="A9" s="1"/>
      <c r="B9" s="364">
        <v>5</v>
      </c>
      <c r="C9" s="68">
        <v>5</v>
      </c>
      <c r="D9" s="69">
        <v>80666866</v>
      </c>
      <c r="E9" s="69" t="s">
        <v>25</v>
      </c>
      <c r="F9" s="24" t="s">
        <v>668</v>
      </c>
      <c r="G9" s="365">
        <v>0.98</v>
      </c>
      <c r="H9" s="365">
        <v>1</v>
      </c>
      <c r="I9" s="365">
        <v>1</v>
      </c>
      <c r="J9" s="365">
        <v>1</v>
      </c>
      <c r="K9" s="365">
        <v>1</v>
      </c>
      <c r="L9" s="365">
        <v>1</v>
      </c>
      <c r="M9" s="365">
        <v>1</v>
      </c>
      <c r="N9" s="365">
        <v>0.5</v>
      </c>
      <c r="O9" s="365">
        <v>0</v>
      </c>
      <c r="P9" s="365">
        <v>1</v>
      </c>
      <c r="Q9" s="366">
        <v>0.93799999999999994</v>
      </c>
      <c r="R9" s="367">
        <v>0</v>
      </c>
      <c r="S9" s="366">
        <v>0.93799999999999994</v>
      </c>
      <c r="T9" s="1"/>
      <c r="U9" s="1"/>
      <c r="V9" s="1"/>
      <c r="W9" s="1"/>
      <c r="X9" s="1"/>
      <c r="Y9" s="1"/>
      <c r="Z9" s="1"/>
      <c r="AA9" s="1"/>
      <c r="AB9" s="1"/>
    </row>
    <row r="10" spans="1:28" ht="18" x14ac:dyDescent="0.3">
      <c r="A10" s="1"/>
      <c r="B10" s="364">
        <v>6</v>
      </c>
      <c r="C10" s="68">
        <v>6</v>
      </c>
      <c r="D10" s="69">
        <v>80660888</v>
      </c>
      <c r="E10" s="69" t="s">
        <v>110</v>
      </c>
      <c r="F10" s="24" t="s">
        <v>634</v>
      </c>
      <c r="G10" s="365">
        <v>1</v>
      </c>
      <c r="H10" s="365">
        <v>1</v>
      </c>
      <c r="I10" s="365">
        <v>1</v>
      </c>
      <c r="J10" s="365">
        <v>1</v>
      </c>
      <c r="K10" s="365">
        <v>1</v>
      </c>
      <c r="L10" s="365">
        <v>0.99590000000000001</v>
      </c>
      <c r="M10" s="365">
        <v>1</v>
      </c>
      <c r="N10" s="365">
        <v>1</v>
      </c>
      <c r="O10" s="365">
        <v>1</v>
      </c>
      <c r="P10" s="365">
        <v>1</v>
      </c>
      <c r="Q10" s="366">
        <v>0.99960000000000004</v>
      </c>
      <c r="R10" s="367">
        <v>0</v>
      </c>
      <c r="S10" s="366">
        <v>0.99960000000000004</v>
      </c>
      <c r="T10" s="1"/>
      <c r="U10" s="1"/>
      <c r="V10" s="1"/>
      <c r="W10" s="1"/>
      <c r="X10" s="1"/>
      <c r="Y10" s="1"/>
      <c r="Z10" s="1"/>
      <c r="AA10" s="1"/>
      <c r="AB10" s="1"/>
    </row>
    <row r="11" spans="1:28" ht="18" x14ac:dyDescent="0.3">
      <c r="A11" s="1"/>
      <c r="B11" s="364">
        <v>7</v>
      </c>
      <c r="C11" s="68">
        <v>7</v>
      </c>
      <c r="D11" s="69">
        <v>80665325</v>
      </c>
      <c r="E11" s="69" t="s">
        <v>111</v>
      </c>
      <c r="F11" s="24" t="s">
        <v>634</v>
      </c>
      <c r="G11" s="365">
        <v>1</v>
      </c>
      <c r="H11" s="365">
        <v>0.98</v>
      </c>
      <c r="I11" s="365">
        <v>1</v>
      </c>
      <c r="J11" s="365">
        <v>1</v>
      </c>
      <c r="K11" s="365">
        <v>1</v>
      </c>
      <c r="L11" s="365">
        <v>0.99790000000000001</v>
      </c>
      <c r="M11" s="365">
        <v>1</v>
      </c>
      <c r="N11" s="365">
        <v>1</v>
      </c>
      <c r="O11" s="365">
        <v>0</v>
      </c>
      <c r="P11" s="365">
        <v>1</v>
      </c>
      <c r="Q11" s="366">
        <v>0.9788</v>
      </c>
      <c r="R11" s="367">
        <v>0</v>
      </c>
      <c r="S11" s="366">
        <v>0.9788</v>
      </c>
      <c r="T11" s="1"/>
      <c r="U11" s="1"/>
      <c r="V11" s="1"/>
      <c r="W11" s="1"/>
      <c r="X11" s="1"/>
      <c r="Y11" s="1"/>
      <c r="Z11" s="1"/>
      <c r="AA11" s="1"/>
      <c r="AB11" s="1"/>
    </row>
    <row r="12" spans="1:28" ht="18" x14ac:dyDescent="0.3">
      <c r="A12" s="1"/>
      <c r="B12" s="364"/>
      <c r="C12" s="68">
        <v>8</v>
      </c>
      <c r="D12" s="69">
        <v>80668529</v>
      </c>
      <c r="E12" s="69" t="s">
        <v>112</v>
      </c>
      <c r="F12" s="24" t="s">
        <v>634</v>
      </c>
      <c r="G12" s="365">
        <v>1</v>
      </c>
      <c r="H12" s="365">
        <v>1</v>
      </c>
      <c r="I12" s="365">
        <v>1</v>
      </c>
      <c r="J12" s="365">
        <v>1</v>
      </c>
      <c r="K12" s="365">
        <v>1</v>
      </c>
      <c r="L12" s="365">
        <v>1</v>
      </c>
      <c r="M12" s="365">
        <v>1</v>
      </c>
      <c r="N12" s="365">
        <v>1</v>
      </c>
      <c r="O12" s="365">
        <v>1</v>
      </c>
      <c r="P12" s="365">
        <v>1</v>
      </c>
      <c r="Q12" s="366">
        <v>1</v>
      </c>
      <c r="R12" s="367">
        <v>0</v>
      </c>
      <c r="S12" s="366">
        <v>1</v>
      </c>
      <c r="T12" s="391">
        <f>AVERAGE(S5:S502)</f>
        <v>0.92674245472837102</v>
      </c>
      <c r="U12" s="1"/>
      <c r="V12" s="1"/>
      <c r="W12" s="1"/>
      <c r="X12" s="1"/>
      <c r="Y12" s="1"/>
      <c r="Z12" s="1"/>
      <c r="AA12" s="1"/>
      <c r="AB12" s="1"/>
    </row>
    <row r="13" spans="1:28" ht="18" x14ac:dyDescent="0.3">
      <c r="A13" s="1"/>
      <c r="B13" s="364">
        <v>1</v>
      </c>
      <c r="C13" s="68">
        <v>9</v>
      </c>
      <c r="D13" s="69">
        <v>80666864</v>
      </c>
      <c r="E13" s="69" t="s">
        <v>113</v>
      </c>
      <c r="F13" s="24" t="s">
        <v>634</v>
      </c>
      <c r="G13" s="365">
        <v>1</v>
      </c>
      <c r="H13" s="365">
        <v>1</v>
      </c>
      <c r="I13" s="365">
        <v>1</v>
      </c>
      <c r="J13" s="365">
        <v>1</v>
      </c>
      <c r="K13" s="365">
        <v>1</v>
      </c>
      <c r="L13" s="365">
        <v>1</v>
      </c>
      <c r="M13" s="365">
        <v>1</v>
      </c>
      <c r="N13" s="365">
        <v>0.5</v>
      </c>
      <c r="O13" s="365">
        <v>0</v>
      </c>
      <c r="P13" s="365">
        <v>0.5</v>
      </c>
      <c r="Q13" s="366">
        <v>0.91500000000000004</v>
      </c>
      <c r="R13" s="367">
        <v>0</v>
      </c>
      <c r="S13" s="366">
        <v>0.91500000000000004</v>
      </c>
      <c r="T13" s="1"/>
      <c r="U13" s="1"/>
      <c r="V13" s="1"/>
      <c r="W13" s="1"/>
      <c r="X13" s="1"/>
      <c r="Y13" s="1"/>
      <c r="Z13" s="1"/>
      <c r="AA13" s="1"/>
      <c r="AB13" s="1"/>
    </row>
    <row r="14" spans="1:28" ht="18" x14ac:dyDescent="0.3">
      <c r="A14" s="1"/>
      <c r="B14" s="364">
        <v>2</v>
      </c>
      <c r="C14" s="68">
        <v>10</v>
      </c>
      <c r="D14" s="69">
        <v>80672166</v>
      </c>
      <c r="E14" s="69" t="s">
        <v>114</v>
      </c>
      <c r="F14" s="24" t="s">
        <v>634</v>
      </c>
      <c r="G14" s="365">
        <v>1</v>
      </c>
      <c r="H14" s="365">
        <v>1</v>
      </c>
      <c r="I14" s="365">
        <v>1</v>
      </c>
      <c r="J14" s="365">
        <v>1</v>
      </c>
      <c r="K14" s="365">
        <v>1</v>
      </c>
      <c r="L14" s="365">
        <v>0.99399999999999999</v>
      </c>
      <c r="M14" s="365">
        <v>0.8</v>
      </c>
      <c r="N14" s="365">
        <v>1</v>
      </c>
      <c r="O14" s="365">
        <v>0</v>
      </c>
      <c r="P14" s="365">
        <v>1</v>
      </c>
      <c r="Q14" s="366">
        <v>0.90939999999999999</v>
      </c>
      <c r="R14" s="367">
        <v>0</v>
      </c>
      <c r="S14" s="366">
        <v>0.90939999999999999</v>
      </c>
      <c r="T14" s="1"/>
      <c r="U14" s="1"/>
      <c r="V14" s="1"/>
      <c r="W14" s="1"/>
      <c r="X14" s="1"/>
      <c r="Y14" s="1"/>
      <c r="Z14" s="1"/>
      <c r="AA14" s="1"/>
      <c r="AB14" s="1"/>
    </row>
    <row r="15" spans="1:28" ht="18" x14ac:dyDescent="0.3">
      <c r="A15" s="1"/>
      <c r="B15" s="364">
        <v>3</v>
      </c>
      <c r="C15" s="68">
        <v>11</v>
      </c>
      <c r="D15" s="69">
        <v>80670965</v>
      </c>
      <c r="E15" s="69" t="s">
        <v>63</v>
      </c>
      <c r="F15" s="24" t="s">
        <v>645</v>
      </c>
      <c r="G15" s="365">
        <v>1</v>
      </c>
      <c r="H15" s="365">
        <v>1</v>
      </c>
      <c r="I15" s="365">
        <v>1</v>
      </c>
      <c r="J15" s="365">
        <v>1</v>
      </c>
      <c r="K15" s="365">
        <v>1</v>
      </c>
      <c r="L15" s="365">
        <v>0.93689999999999996</v>
      </c>
      <c r="M15" s="365">
        <v>0.8</v>
      </c>
      <c r="N15" s="365">
        <v>1</v>
      </c>
      <c r="O15" s="365">
        <v>0</v>
      </c>
      <c r="P15" s="365">
        <v>1</v>
      </c>
      <c r="Q15" s="366">
        <v>0.90369999999999995</v>
      </c>
      <c r="R15" s="367">
        <v>0</v>
      </c>
      <c r="S15" s="366">
        <v>0.90369999999999995</v>
      </c>
      <c r="T15" s="1"/>
      <c r="U15" s="1"/>
      <c r="V15" s="1"/>
      <c r="W15" s="1"/>
      <c r="X15" s="1"/>
      <c r="Y15" s="1"/>
      <c r="Z15" s="1"/>
      <c r="AA15" s="1"/>
      <c r="AB15" s="1"/>
    </row>
    <row r="16" spans="1:28" ht="18" x14ac:dyDescent="0.3">
      <c r="A16" s="1"/>
      <c r="B16" s="364">
        <v>4</v>
      </c>
      <c r="C16" s="68">
        <v>12</v>
      </c>
      <c r="D16" s="69">
        <v>80658947</v>
      </c>
      <c r="E16" s="69" t="s">
        <v>64</v>
      </c>
      <c r="F16" s="24" t="s">
        <v>645</v>
      </c>
      <c r="G16" s="365">
        <v>0.96</v>
      </c>
      <c r="H16" s="365">
        <v>1</v>
      </c>
      <c r="I16" s="365">
        <v>1</v>
      </c>
      <c r="J16" s="365">
        <v>1</v>
      </c>
      <c r="K16" s="365">
        <v>1</v>
      </c>
      <c r="L16" s="365">
        <v>0.99329999999999996</v>
      </c>
      <c r="M16" s="365">
        <v>0.8</v>
      </c>
      <c r="N16" s="365">
        <v>1</v>
      </c>
      <c r="O16" s="365">
        <v>1</v>
      </c>
      <c r="P16" s="365">
        <v>0.75</v>
      </c>
      <c r="Q16" s="366">
        <v>0.91279999999999994</v>
      </c>
      <c r="R16" s="367">
        <v>0</v>
      </c>
      <c r="S16" s="366">
        <v>0.91279999999999994</v>
      </c>
      <c r="T16" s="1"/>
      <c r="U16" s="1"/>
      <c r="V16" s="1"/>
      <c r="W16" s="1"/>
      <c r="X16" s="1"/>
      <c r="Y16" s="1"/>
      <c r="Z16" s="1"/>
      <c r="AA16" s="1"/>
      <c r="AB16" s="1"/>
    </row>
    <row r="17" spans="1:28" ht="18" x14ac:dyDescent="0.3">
      <c r="A17" s="1"/>
      <c r="B17" s="364">
        <v>5</v>
      </c>
      <c r="C17" s="68">
        <v>13</v>
      </c>
      <c r="D17" s="69">
        <v>80672158</v>
      </c>
      <c r="E17" s="69" t="s">
        <v>65</v>
      </c>
      <c r="F17" s="24" t="s">
        <v>645</v>
      </c>
      <c r="G17" s="365">
        <v>0.98</v>
      </c>
      <c r="H17" s="365">
        <v>1</v>
      </c>
      <c r="I17" s="365">
        <v>1</v>
      </c>
      <c r="J17" s="365">
        <v>0.93079999999999996</v>
      </c>
      <c r="K17" s="365">
        <v>1</v>
      </c>
      <c r="L17" s="365">
        <v>0.99399999999999999</v>
      </c>
      <c r="M17" s="365">
        <v>0.8</v>
      </c>
      <c r="N17" s="365">
        <v>1</v>
      </c>
      <c r="O17" s="365">
        <v>1</v>
      </c>
      <c r="P17" s="365">
        <v>0.75</v>
      </c>
      <c r="Q17" s="366">
        <v>0.90800000000000003</v>
      </c>
      <c r="R17" s="367">
        <v>0</v>
      </c>
      <c r="S17" s="366">
        <v>0.90800000000000003</v>
      </c>
      <c r="T17" s="1"/>
      <c r="U17" s="1"/>
      <c r="V17" s="1"/>
      <c r="W17" s="1"/>
      <c r="X17" s="1"/>
      <c r="Y17" s="1"/>
      <c r="Z17" s="1"/>
      <c r="AA17" s="1"/>
      <c r="AB17" s="1"/>
    </row>
    <row r="18" spans="1:28" ht="18" x14ac:dyDescent="0.3">
      <c r="A18" s="1"/>
      <c r="B18" s="364">
        <v>6</v>
      </c>
      <c r="C18" s="68">
        <v>14</v>
      </c>
      <c r="D18" s="69">
        <v>80668040</v>
      </c>
      <c r="E18" s="69" t="s">
        <v>66</v>
      </c>
      <c r="F18" s="24" t="s">
        <v>645</v>
      </c>
      <c r="G18" s="365">
        <v>1</v>
      </c>
      <c r="H18" s="365">
        <v>1</v>
      </c>
      <c r="I18" s="365">
        <v>1</v>
      </c>
      <c r="J18" s="365">
        <v>1</v>
      </c>
      <c r="K18" s="365">
        <v>1</v>
      </c>
      <c r="L18" s="365">
        <v>1</v>
      </c>
      <c r="M18" s="365">
        <v>1</v>
      </c>
      <c r="N18" s="365">
        <v>0.5</v>
      </c>
      <c r="O18" s="365">
        <v>0</v>
      </c>
      <c r="P18" s="365">
        <v>1</v>
      </c>
      <c r="Q18" s="366">
        <v>0.94</v>
      </c>
      <c r="R18" s="367">
        <v>0</v>
      </c>
      <c r="S18" s="366">
        <v>0.94</v>
      </c>
      <c r="T18" s="1"/>
      <c r="U18" s="1"/>
      <c r="V18" s="1"/>
      <c r="W18" s="1"/>
      <c r="X18" s="1"/>
      <c r="Y18" s="1"/>
      <c r="Z18" s="1"/>
      <c r="AA18" s="1"/>
      <c r="AB18" s="1"/>
    </row>
    <row r="19" spans="1:28" ht="18" x14ac:dyDescent="0.3">
      <c r="A19" s="1"/>
      <c r="B19" s="364">
        <v>7</v>
      </c>
      <c r="C19" s="68">
        <v>15</v>
      </c>
      <c r="D19" s="69">
        <v>80669290</v>
      </c>
      <c r="E19" s="69" t="s">
        <v>67</v>
      </c>
      <c r="F19" s="24" t="s">
        <v>645</v>
      </c>
      <c r="G19" s="365">
        <v>1</v>
      </c>
      <c r="H19" s="365">
        <v>1</v>
      </c>
      <c r="I19" s="365">
        <v>1</v>
      </c>
      <c r="J19" s="365">
        <v>0.91639999999999999</v>
      </c>
      <c r="K19" s="365">
        <v>1</v>
      </c>
      <c r="L19" s="365">
        <v>1</v>
      </c>
      <c r="M19" s="365">
        <v>1</v>
      </c>
      <c r="N19" s="365">
        <v>1</v>
      </c>
      <c r="O19" s="365">
        <v>1</v>
      </c>
      <c r="P19" s="365">
        <v>1</v>
      </c>
      <c r="Q19" s="366">
        <v>0.99160000000000004</v>
      </c>
      <c r="R19" s="367">
        <v>0</v>
      </c>
      <c r="S19" s="366">
        <v>0.99160000000000004</v>
      </c>
      <c r="T19" s="1"/>
      <c r="U19" s="1"/>
      <c r="V19" s="1"/>
      <c r="W19" s="1"/>
      <c r="X19" s="1"/>
      <c r="Y19" s="1"/>
      <c r="Z19" s="1"/>
      <c r="AA19" s="1"/>
      <c r="AB19" s="1"/>
    </row>
    <row r="20" spans="1:28" ht="18" x14ac:dyDescent="0.3">
      <c r="A20" s="1"/>
      <c r="B20" s="364">
        <v>1</v>
      </c>
      <c r="C20" s="68">
        <v>16</v>
      </c>
      <c r="D20" s="69">
        <v>80671869</v>
      </c>
      <c r="E20" s="69" t="s">
        <v>528</v>
      </c>
      <c r="F20" s="24" t="s">
        <v>672</v>
      </c>
      <c r="G20" s="365">
        <v>0.98</v>
      </c>
      <c r="H20" s="365">
        <v>0.98</v>
      </c>
      <c r="I20" s="365">
        <v>1</v>
      </c>
      <c r="J20" s="365">
        <v>0.91490000000000005</v>
      </c>
      <c r="K20" s="365">
        <v>1</v>
      </c>
      <c r="L20" s="365">
        <v>0.9919</v>
      </c>
      <c r="M20" s="365">
        <v>0.8</v>
      </c>
      <c r="N20" s="365">
        <v>1</v>
      </c>
      <c r="O20" s="365">
        <v>0</v>
      </c>
      <c r="P20" s="365">
        <v>0.5</v>
      </c>
      <c r="Q20" s="366">
        <v>0.87270000000000003</v>
      </c>
      <c r="R20" s="367">
        <v>0</v>
      </c>
      <c r="S20" s="366">
        <v>0.87270000000000003</v>
      </c>
      <c r="T20" s="1"/>
      <c r="U20" s="1"/>
      <c r="V20" s="1"/>
      <c r="W20" s="1"/>
      <c r="X20" s="1"/>
      <c r="Y20" s="1"/>
      <c r="Z20" s="1"/>
      <c r="AA20" s="1"/>
      <c r="AB20" s="1"/>
    </row>
    <row r="21" spans="1:28" ht="18" x14ac:dyDescent="0.3">
      <c r="A21" s="1"/>
      <c r="B21" s="364">
        <v>2</v>
      </c>
      <c r="C21" s="68">
        <v>17</v>
      </c>
      <c r="D21" s="69">
        <v>80673111</v>
      </c>
      <c r="E21" s="69" t="s">
        <v>529</v>
      </c>
      <c r="F21" s="24" t="s">
        <v>672</v>
      </c>
      <c r="G21" s="365">
        <v>1</v>
      </c>
      <c r="H21" s="365">
        <v>1</v>
      </c>
      <c r="I21" s="365">
        <v>1</v>
      </c>
      <c r="J21" s="365">
        <v>1</v>
      </c>
      <c r="K21" s="365">
        <v>1</v>
      </c>
      <c r="L21" s="365">
        <v>0.99590000000000001</v>
      </c>
      <c r="M21" s="365">
        <v>1</v>
      </c>
      <c r="N21" s="365">
        <v>1</v>
      </c>
      <c r="O21" s="365">
        <v>0</v>
      </c>
      <c r="P21" s="365">
        <v>1</v>
      </c>
      <c r="Q21" s="366">
        <v>0.97960000000000003</v>
      </c>
      <c r="R21" s="367">
        <v>0</v>
      </c>
      <c r="S21" s="366">
        <v>0.97960000000000003</v>
      </c>
      <c r="T21" s="1"/>
      <c r="U21" s="1"/>
      <c r="V21" s="1"/>
      <c r="W21" s="1"/>
      <c r="X21" s="1"/>
      <c r="Y21" s="1"/>
      <c r="Z21" s="1"/>
      <c r="AA21" s="1"/>
      <c r="AB21" s="1"/>
    </row>
    <row r="22" spans="1:28" ht="18" x14ac:dyDescent="0.3">
      <c r="A22" s="1"/>
      <c r="B22" s="364">
        <v>3</v>
      </c>
      <c r="C22" s="68">
        <v>18</v>
      </c>
      <c r="D22" s="69">
        <v>80670972</v>
      </c>
      <c r="E22" s="69" t="s">
        <v>530</v>
      </c>
      <c r="F22" s="24" t="s">
        <v>672</v>
      </c>
      <c r="G22" s="365">
        <v>1</v>
      </c>
      <c r="H22" s="365">
        <v>1</v>
      </c>
      <c r="I22" s="365">
        <v>1</v>
      </c>
      <c r="J22" s="365">
        <v>1</v>
      </c>
      <c r="K22" s="365">
        <v>1</v>
      </c>
      <c r="L22" s="365">
        <v>0.99790000000000001</v>
      </c>
      <c r="M22" s="365">
        <v>1</v>
      </c>
      <c r="N22" s="365">
        <v>0.5</v>
      </c>
      <c r="O22" s="365">
        <v>0</v>
      </c>
      <c r="P22" s="365">
        <v>0.75</v>
      </c>
      <c r="Q22" s="366">
        <v>0.92730000000000001</v>
      </c>
      <c r="R22" s="367">
        <v>0</v>
      </c>
      <c r="S22" s="366">
        <v>0.92730000000000001</v>
      </c>
      <c r="T22" s="1"/>
      <c r="U22" s="1"/>
      <c r="V22" s="1"/>
      <c r="W22" s="1"/>
      <c r="X22" s="1"/>
      <c r="Y22" s="1"/>
      <c r="Z22" s="1"/>
      <c r="AA22" s="1"/>
      <c r="AB22" s="1"/>
    </row>
    <row r="23" spans="1:28" ht="18" x14ac:dyDescent="0.3">
      <c r="A23" s="1"/>
      <c r="B23" s="364">
        <v>4</v>
      </c>
      <c r="C23" s="68">
        <v>19</v>
      </c>
      <c r="D23" s="69">
        <v>80669287</v>
      </c>
      <c r="E23" s="69" t="s">
        <v>531</v>
      </c>
      <c r="F23" s="24" t="s">
        <v>672</v>
      </c>
      <c r="G23" s="365">
        <v>1</v>
      </c>
      <c r="H23" s="365">
        <v>1</v>
      </c>
      <c r="I23" s="365">
        <v>1</v>
      </c>
      <c r="J23" s="365">
        <v>0.9375</v>
      </c>
      <c r="K23" s="365">
        <v>1</v>
      </c>
      <c r="L23" s="365">
        <v>0.9728</v>
      </c>
      <c r="M23" s="365">
        <v>0.8</v>
      </c>
      <c r="N23" s="365">
        <v>0</v>
      </c>
      <c r="O23" s="365">
        <v>0</v>
      </c>
      <c r="P23" s="365">
        <v>0.5</v>
      </c>
      <c r="Q23" s="366">
        <v>0.79600000000000004</v>
      </c>
      <c r="R23" s="367">
        <v>0</v>
      </c>
      <c r="S23" s="366">
        <v>0.79600000000000004</v>
      </c>
      <c r="T23" s="1"/>
      <c r="U23" s="1"/>
      <c r="V23" s="1"/>
      <c r="W23" s="1"/>
      <c r="X23" s="1"/>
      <c r="Y23" s="1"/>
      <c r="Z23" s="1"/>
      <c r="AA23" s="1"/>
      <c r="AB23" s="1"/>
    </row>
    <row r="24" spans="1:28" ht="18" x14ac:dyDescent="0.3">
      <c r="A24" s="1"/>
      <c r="B24" s="364">
        <v>5</v>
      </c>
      <c r="C24" s="68">
        <v>20</v>
      </c>
      <c r="D24" s="69">
        <v>80674447</v>
      </c>
      <c r="E24" s="69" t="s">
        <v>532</v>
      </c>
      <c r="F24" s="24" t="s">
        <v>672</v>
      </c>
      <c r="G24" s="365">
        <v>1</v>
      </c>
      <c r="H24" s="365">
        <v>1</v>
      </c>
      <c r="I24" s="365">
        <v>1</v>
      </c>
      <c r="J24" s="365">
        <v>1</v>
      </c>
      <c r="K24" s="365">
        <v>0</v>
      </c>
      <c r="L24" s="365">
        <v>0.99670000000000003</v>
      </c>
      <c r="M24" s="365">
        <v>1</v>
      </c>
      <c r="N24" s="365">
        <v>1</v>
      </c>
      <c r="O24" s="365">
        <v>0</v>
      </c>
      <c r="P24" s="365">
        <v>1</v>
      </c>
      <c r="Q24" s="366">
        <v>0.92969999999999997</v>
      </c>
      <c r="R24" s="367">
        <v>0</v>
      </c>
      <c r="S24" s="366">
        <v>0.92969999999999997</v>
      </c>
      <c r="T24" s="1"/>
      <c r="U24" s="1"/>
      <c r="V24" s="1"/>
      <c r="W24" s="1"/>
      <c r="X24" s="1"/>
      <c r="Y24" s="1"/>
      <c r="Z24" s="1"/>
      <c r="AA24" s="1"/>
      <c r="AB24" s="1"/>
    </row>
    <row r="25" spans="1:28" ht="18" x14ac:dyDescent="0.3">
      <c r="A25" s="1"/>
      <c r="B25" s="364">
        <v>6</v>
      </c>
      <c r="C25" s="68">
        <v>21</v>
      </c>
      <c r="D25" s="69">
        <v>80668520</v>
      </c>
      <c r="E25" s="69" t="s">
        <v>43</v>
      </c>
      <c r="F25" s="24" t="s">
        <v>661</v>
      </c>
      <c r="G25" s="365">
        <v>1</v>
      </c>
      <c r="H25" s="365">
        <v>1</v>
      </c>
      <c r="I25" s="365">
        <v>1</v>
      </c>
      <c r="J25" s="365">
        <v>0.91559999999999997</v>
      </c>
      <c r="K25" s="365">
        <v>0</v>
      </c>
      <c r="L25" s="365">
        <v>0.99750000000000005</v>
      </c>
      <c r="M25" s="365">
        <v>1</v>
      </c>
      <c r="N25" s="365">
        <v>1</v>
      </c>
      <c r="O25" s="365">
        <v>0</v>
      </c>
      <c r="P25" s="365">
        <v>1</v>
      </c>
      <c r="Q25" s="366">
        <v>0.92130000000000001</v>
      </c>
      <c r="R25" s="367">
        <v>0</v>
      </c>
      <c r="S25" s="366">
        <v>0.92130000000000001</v>
      </c>
      <c r="T25" s="1"/>
      <c r="U25" s="1"/>
      <c r="V25" s="1"/>
      <c r="W25" s="1"/>
      <c r="X25" s="1"/>
      <c r="Y25" s="1"/>
      <c r="Z25" s="1"/>
      <c r="AA25" s="1"/>
      <c r="AB25" s="1"/>
    </row>
    <row r="26" spans="1:28" ht="18" x14ac:dyDescent="0.3">
      <c r="A26" s="1"/>
      <c r="B26" s="364">
        <v>7</v>
      </c>
      <c r="C26" s="68">
        <v>22</v>
      </c>
      <c r="D26" s="69">
        <v>80665556</v>
      </c>
      <c r="E26" s="69" t="s">
        <v>44</v>
      </c>
      <c r="F26" s="24" t="s">
        <v>661</v>
      </c>
      <c r="G26" s="365">
        <v>0.98</v>
      </c>
      <c r="H26" s="365">
        <v>1</v>
      </c>
      <c r="I26" s="365">
        <v>1</v>
      </c>
      <c r="J26" s="365">
        <v>1</v>
      </c>
      <c r="K26" s="365">
        <v>1</v>
      </c>
      <c r="L26" s="365">
        <v>0.99399999999999999</v>
      </c>
      <c r="M26" s="365">
        <v>0.8</v>
      </c>
      <c r="N26" s="365">
        <v>1</v>
      </c>
      <c r="O26" s="365">
        <v>1</v>
      </c>
      <c r="P26" s="365">
        <v>0.5</v>
      </c>
      <c r="Q26" s="366">
        <v>0.90239999999999998</v>
      </c>
      <c r="R26" s="367">
        <v>0</v>
      </c>
      <c r="S26" s="366">
        <v>0.90239999999999998</v>
      </c>
      <c r="T26" s="1"/>
      <c r="U26" s="1"/>
      <c r="V26" s="1"/>
      <c r="W26" s="1"/>
      <c r="X26" s="1"/>
      <c r="Y26" s="1"/>
      <c r="Z26" s="1"/>
      <c r="AA26" s="1"/>
      <c r="AB26" s="1"/>
    </row>
    <row r="27" spans="1:28" ht="18" x14ac:dyDescent="0.3">
      <c r="A27" s="1"/>
      <c r="B27" s="364">
        <v>8</v>
      </c>
      <c r="C27" s="68">
        <v>23</v>
      </c>
      <c r="D27" s="69">
        <v>80672157</v>
      </c>
      <c r="E27" s="69" t="s">
        <v>45</v>
      </c>
      <c r="F27" s="24" t="s">
        <v>661</v>
      </c>
      <c r="G27" s="365">
        <v>1</v>
      </c>
      <c r="H27" s="365">
        <v>1</v>
      </c>
      <c r="I27" s="365">
        <v>1</v>
      </c>
      <c r="J27" s="365">
        <v>1</v>
      </c>
      <c r="K27" s="365">
        <v>1</v>
      </c>
      <c r="L27" s="365">
        <v>1</v>
      </c>
      <c r="M27" s="365">
        <v>1</v>
      </c>
      <c r="N27" s="365">
        <v>1</v>
      </c>
      <c r="O27" s="365">
        <v>0</v>
      </c>
      <c r="P27" s="365">
        <v>0.5</v>
      </c>
      <c r="Q27" s="366">
        <v>0.95499999999999996</v>
      </c>
      <c r="R27" s="367">
        <v>0</v>
      </c>
      <c r="S27" s="366">
        <v>0.95499999999999996</v>
      </c>
      <c r="T27" s="1"/>
      <c r="U27" s="1"/>
      <c r="V27" s="1"/>
      <c r="W27" s="1"/>
      <c r="X27" s="1"/>
      <c r="Y27" s="1"/>
      <c r="Z27" s="1"/>
      <c r="AA27" s="1"/>
      <c r="AB27" s="1"/>
    </row>
    <row r="28" spans="1:28" ht="18" x14ac:dyDescent="0.3">
      <c r="A28" s="1"/>
      <c r="B28" s="364">
        <v>2</v>
      </c>
      <c r="C28" s="68">
        <v>24</v>
      </c>
      <c r="D28" s="69">
        <v>80661418</v>
      </c>
      <c r="E28" s="69" t="s">
        <v>46</v>
      </c>
      <c r="F28" s="24" t="s">
        <v>661</v>
      </c>
      <c r="G28" s="365">
        <v>0.98</v>
      </c>
      <c r="H28" s="365">
        <v>1</v>
      </c>
      <c r="I28" s="365">
        <v>1</v>
      </c>
      <c r="J28" s="365">
        <v>0.90700000000000003</v>
      </c>
      <c r="K28" s="365">
        <v>1</v>
      </c>
      <c r="L28" s="365">
        <v>0.99399999999999999</v>
      </c>
      <c r="M28" s="365">
        <v>1</v>
      </c>
      <c r="N28" s="365">
        <v>0.5</v>
      </c>
      <c r="O28" s="365">
        <v>1</v>
      </c>
      <c r="P28" s="365">
        <v>0.5</v>
      </c>
      <c r="Q28" s="366">
        <v>0.92310000000000003</v>
      </c>
      <c r="R28" s="367">
        <v>0</v>
      </c>
      <c r="S28" s="366">
        <v>0.92310000000000003</v>
      </c>
      <c r="T28" s="1"/>
      <c r="U28" s="1"/>
      <c r="V28" s="1"/>
      <c r="W28" s="1"/>
      <c r="X28" s="1"/>
      <c r="Y28" s="1"/>
      <c r="Z28" s="1"/>
      <c r="AA28" s="1"/>
      <c r="AB28" s="1"/>
    </row>
    <row r="29" spans="1:28" ht="18" x14ac:dyDescent="0.3">
      <c r="A29" s="1"/>
      <c r="B29" s="364">
        <v>3</v>
      </c>
      <c r="C29" s="68">
        <v>25</v>
      </c>
      <c r="D29" s="69">
        <v>80672853</v>
      </c>
      <c r="E29" s="69" t="s">
        <v>47</v>
      </c>
      <c r="F29" s="24" t="s">
        <v>661</v>
      </c>
      <c r="G29" s="365">
        <v>1</v>
      </c>
      <c r="H29" s="365">
        <v>1</v>
      </c>
      <c r="I29" s="365">
        <v>1</v>
      </c>
      <c r="J29" s="365">
        <v>1</v>
      </c>
      <c r="K29" s="365">
        <v>1</v>
      </c>
      <c r="L29" s="365">
        <v>1</v>
      </c>
      <c r="M29" s="365">
        <v>1</v>
      </c>
      <c r="N29" s="365">
        <v>1</v>
      </c>
      <c r="O29" s="365">
        <v>0</v>
      </c>
      <c r="P29" s="365">
        <v>1</v>
      </c>
      <c r="Q29" s="366">
        <v>0.98</v>
      </c>
      <c r="R29" s="367">
        <v>0</v>
      </c>
      <c r="S29" s="366">
        <v>0.98</v>
      </c>
      <c r="T29" s="1"/>
      <c r="U29" s="1"/>
      <c r="V29" s="1"/>
      <c r="W29" s="1"/>
      <c r="X29" s="1"/>
      <c r="Y29" s="1"/>
      <c r="Z29" s="1"/>
      <c r="AA29" s="1"/>
      <c r="AB29" s="1"/>
    </row>
    <row r="30" spans="1:28" ht="18" x14ac:dyDescent="0.3">
      <c r="A30" s="1"/>
      <c r="B30" s="364">
        <v>4</v>
      </c>
      <c r="C30" s="68">
        <v>26</v>
      </c>
      <c r="D30" s="69">
        <v>80665339</v>
      </c>
      <c r="E30" s="69" t="s">
        <v>563</v>
      </c>
      <c r="F30" s="24" t="s">
        <v>678</v>
      </c>
      <c r="G30" s="365">
        <v>0.98</v>
      </c>
      <c r="H30" s="365">
        <v>1</v>
      </c>
      <c r="I30" s="365">
        <v>1</v>
      </c>
      <c r="J30" s="365">
        <v>1</v>
      </c>
      <c r="K30" s="365">
        <v>1</v>
      </c>
      <c r="L30" s="365">
        <v>1</v>
      </c>
      <c r="M30" s="365">
        <v>1</v>
      </c>
      <c r="N30" s="365">
        <v>1</v>
      </c>
      <c r="O30" s="365">
        <v>0</v>
      </c>
      <c r="P30" s="365">
        <v>1</v>
      </c>
      <c r="Q30" s="366">
        <v>0.97799999999999998</v>
      </c>
      <c r="R30" s="367">
        <v>0</v>
      </c>
      <c r="S30" s="366">
        <v>0.97799999999999998</v>
      </c>
      <c r="T30" s="1"/>
      <c r="U30" s="1"/>
      <c r="V30" s="1"/>
      <c r="W30" s="1"/>
      <c r="X30" s="1"/>
      <c r="Y30" s="1"/>
      <c r="Z30" s="1"/>
      <c r="AA30" s="1"/>
      <c r="AB30" s="1"/>
    </row>
    <row r="31" spans="1:28" ht="18" x14ac:dyDescent="0.3">
      <c r="A31" s="1"/>
      <c r="B31" s="364">
        <v>5</v>
      </c>
      <c r="C31" s="68">
        <v>27</v>
      </c>
      <c r="D31" s="69">
        <v>80671868</v>
      </c>
      <c r="E31" s="69" t="s">
        <v>564</v>
      </c>
      <c r="F31" s="24" t="s">
        <v>678</v>
      </c>
      <c r="G31" s="365">
        <v>1</v>
      </c>
      <c r="H31" s="365">
        <v>0.99</v>
      </c>
      <c r="I31" s="365">
        <v>1</v>
      </c>
      <c r="J31" s="365">
        <v>1</v>
      </c>
      <c r="K31" s="365">
        <v>1</v>
      </c>
      <c r="L31" s="365">
        <v>1</v>
      </c>
      <c r="M31" s="365">
        <v>0.8</v>
      </c>
      <c r="N31" s="365">
        <v>1</v>
      </c>
      <c r="O31" s="365">
        <v>0</v>
      </c>
      <c r="P31" s="365">
        <v>0.75</v>
      </c>
      <c r="Q31" s="366">
        <v>0.89700000000000002</v>
      </c>
      <c r="R31" s="367">
        <v>0</v>
      </c>
      <c r="S31" s="366">
        <v>0.89700000000000002</v>
      </c>
      <c r="T31" s="1"/>
      <c r="U31" s="1"/>
      <c r="V31" s="1"/>
      <c r="W31" s="1"/>
      <c r="X31" s="1"/>
      <c r="Y31" s="1"/>
      <c r="Z31" s="1"/>
      <c r="AA31" s="1"/>
      <c r="AB31" s="1"/>
    </row>
    <row r="32" spans="1:28" ht="18" x14ac:dyDescent="0.3">
      <c r="A32" s="1"/>
      <c r="B32" s="364">
        <v>6</v>
      </c>
      <c r="C32" s="68">
        <v>28</v>
      </c>
      <c r="D32" s="69">
        <v>80665340</v>
      </c>
      <c r="E32" s="69" t="s">
        <v>565</v>
      </c>
      <c r="F32" s="24" t="s">
        <v>678</v>
      </c>
      <c r="G32" s="365">
        <v>1</v>
      </c>
      <c r="H32" s="365">
        <v>1</v>
      </c>
      <c r="I32" s="365">
        <v>0.99729999999999996</v>
      </c>
      <c r="J32" s="365">
        <v>0.89290000000000003</v>
      </c>
      <c r="K32" s="365">
        <v>1</v>
      </c>
      <c r="L32" s="365">
        <v>0.99629999999999996</v>
      </c>
      <c r="M32" s="365">
        <v>1</v>
      </c>
      <c r="N32" s="365">
        <v>0.5</v>
      </c>
      <c r="O32" s="365">
        <v>0</v>
      </c>
      <c r="P32" s="365">
        <v>1</v>
      </c>
      <c r="Q32" s="366">
        <v>0.92859999999999998</v>
      </c>
      <c r="R32" s="367">
        <v>0</v>
      </c>
      <c r="S32" s="366">
        <v>0.92859999999999998</v>
      </c>
      <c r="T32" s="1"/>
      <c r="U32" s="1"/>
      <c r="V32" s="1"/>
      <c r="W32" s="1"/>
      <c r="X32" s="1"/>
      <c r="Y32" s="1"/>
      <c r="Z32" s="1"/>
      <c r="AA32" s="1"/>
      <c r="AB32" s="1"/>
    </row>
    <row r="33" spans="1:28" ht="18" x14ac:dyDescent="0.3">
      <c r="A33" s="1"/>
      <c r="B33" s="364">
        <v>7</v>
      </c>
      <c r="C33" s="68">
        <v>29</v>
      </c>
      <c r="D33" s="69">
        <v>80672631</v>
      </c>
      <c r="E33" s="69" t="s">
        <v>566</v>
      </c>
      <c r="F33" s="24" t="s">
        <v>678</v>
      </c>
      <c r="G33" s="365">
        <v>1</v>
      </c>
      <c r="H33" s="365">
        <v>0.99</v>
      </c>
      <c r="I33" s="365">
        <v>1</v>
      </c>
      <c r="J33" s="365">
        <v>0.98309999999999997</v>
      </c>
      <c r="K33" s="365">
        <v>1</v>
      </c>
      <c r="L33" s="365">
        <v>0.98660000000000003</v>
      </c>
      <c r="M33" s="365">
        <v>0.8</v>
      </c>
      <c r="N33" s="365">
        <v>0.5</v>
      </c>
      <c r="O33" s="365">
        <v>1</v>
      </c>
      <c r="P33" s="365">
        <v>1</v>
      </c>
      <c r="Q33" s="366">
        <v>0.88649999999999995</v>
      </c>
      <c r="R33" s="367">
        <v>0.01</v>
      </c>
      <c r="S33" s="366">
        <v>0.87649999999999995</v>
      </c>
      <c r="T33" s="1"/>
      <c r="U33" s="1"/>
      <c r="V33" s="1"/>
      <c r="W33" s="1"/>
      <c r="X33" s="1"/>
      <c r="Y33" s="1"/>
      <c r="Z33" s="1"/>
      <c r="AA33" s="1"/>
      <c r="AB33" s="1"/>
    </row>
    <row r="34" spans="1:28" ht="18" x14ac:dyDescent="0.3">
      <c r="A34" s="1"/>
      <c r="B34" s="364">
        <v>8</v>
      </c>
      <c r="C34" s="68">
        <v>30</v>
      </c>
      <c r="D34" s="69">
        <v>80671159</v>
      </c>
      <c r="E34" s="69" t="s">
        <v>567</v>
      </c>
      <c r="F34" s="24" t="s">
        <v>678</v>
      </c>
      <c r="G34" s="365">
        <v>1</v>
      </c>
      <c r="H34" s="365">
        <v>0.99</v>
      </c>
      <c r="I34" s="365">
        <v>1</v>
      </c>
      <c r="J34" s="365">
        <v>0.89459999999999995</v>
      </c>
      <c r="K34" s="365">
        <v>0</v>
      </c>
      <c r="L34" s="365">
        <v>0.99180000000000001</v>
      </c>
      <c r="M34" s="365">
        <v>0.8</v>
      </c>
      <c r="N34" s="365">
        <v>1</v>
      </c>
      <c r="O34" s="365">
        <v>1</v>
      </c>
      <c r="P34" s="365">
        <v>1</v>
      </c>
      <c r="Q34" s="366">
        <v>0.86809999999999998</v>
      </c>
      <c r="R34" s="367">
        <v>0</v>
      </c>
      <c r="S34" s="366">
        <v>0.86809999999999998</v>
      </c>
      <c r="T34" s="1"/>
      <c r="U34" s="1"/>
      <c r="V34" s="1"/>
      <c r="W34" s="1"/>
      <c r="X34" s="1"/>
      <c r="Y34" s="1"/>
      <c r="Z34" s="1"/>
      <c r="AA34" s="1"/>
      <c r="AB34" s="1"/>
    </row>
    <row r="35" spans="1:28" ht="18" x14ac:dyDescent="0.3">
      <c r="A35" s="1"/>
      <c r="B35" s="364">
        <v>1</v>
      </c>
      <c r="C35" s="68">
        <v>31</v>
      </c>
      <c r="D35" s="69">
        <v>80662045</v>
      </c>
      <c r="E35" s="69" t="s">
        <v>151</v>
      </c>
      <c r="F35" s="24" t="s">
        <v>630</v>
      </c>
      <c r="G35" s="365">
        <v>1</v>
      </c>
      <c r="H35" s="365">
        <v>1</v>
      </c>
      <c r="I35" s="365">
        <v>1</v>
      </c>
      <c r="J35" s="365">
        <v>1</v>
      </c>
      <c r="K35" s="365">
        <v>1</v>
      </c>
      <c r="L35" s="365">
        <v>1</v>
      </c>
      <c r="M35" s="365">
        <v>1</v>
      </c>
      <c r="N35" s="365">
        <v>1</v>
      </c>
      <c r="O35" s="365">
        <v>1</v>
      </c>
      <c r="P35" s="365">
        <v>1</v>
      </c>
      <c r="Q35" s="366">
        <v>1</v>
      </c>
      <c r="R35" s="367">
        <v>0</v>
      </c>
      <c r="S35" s="366">
        <v>1</v>
      </c>
      <c r="T35" s="1"/>
      <c r="U35" s="1"/>
      <c r="V35" s="1"/>
      <c r="W35" s="1"/>
      <c r="X35" s="1"/>
      <c r="Y35" s="1"/>
      <c r="Z35" s="1"/>
      <c r="AA35" s="1"/>
      <c r="AB35" s="1"/>
    </row>
    <row r="36" spans="1:28" ht="18" x14ac:dyDescent="0.3">
      <c r="A36" s="1"/>
      <c r="B36" s="364">
        <v>2</v>
      </c>
      <c r="C36" s="68">
        <v>32</v>
      </c>
      <c r="D36" s="69">
        <v>80670773</v>
      </c>
      <c r="E36" s="69" t="s">
        <v>152</v>
      </c>
      <c r="F36" s="24" t="s">
        <v>630</v>
      </c>
      <c r="G36" s="365">
        <v>0.94</v>
      </c>
      <c r="H36" s="365">
        <v>1</v>
      </c>
      <c r="I36" s="365">
        <v>1</v>
      </c>
      <c r="J36" s="365">
        <v>0.87819999999999998</v>
      </c>
      <c r="K36" s="365">
        <v>1</v>
      </c>
      <c r="L36" s="365">
        <v>1</v>
      </c>
      <c r="M36" s="365">
        <v>0.8</v>
      </c>
      <c r="N36" s="365">
        <v>1</v>
      </c>
      <c r="O36" s="365">
        <v>0</v>
      </c>
      <c r="P36" s="365">
        <v>1</v>
      </c>
      <c r="Q36" s="366">
        <v>0.89180000000000004</v>
      </c>
      <c r="R36" s="367">
        <v>0</v>
      </c>
      <c r="S36" s="366">
        <v>0.89180000000000004</v>
      </c>
      <c r="T36" s="1"/>
      <c r="U36" s="1"/>
      <c r="V36" s="1"/>
      <c r="W36" s="1"/>
      <c r="X36" s="1"/>
      <c r="Y36" s="1"/>
      <c r="Z36" s="1"/>
      <c r="AA36" s="1"/>
      <c r="AB36" s="1"/>
    </row>
    <row r="37" spans="1:28" ht="18" x14ac:dyDescent="0.3">
      <c r="A37" s="1"/>
      <c r="B37" s="364">
        <v>3</v>
      </c>
      <c r="C37" s="68">
        <v>33</v>
      </c>
      <c r="D37" s="69">
        <v>80665179</v>
      </c>
      <c r="E37" s="69" t="s">
        <v>153</v>
      </c>
      <c r="F37" s="24" t="s">
        <v>630</v>
      </c>
      <c r="G37" s="365">
        <v>1</v>
      </c>
      <c r="H37" s="365">
        <v>1</v>
      </c>
      <c r="I37" s="365">
        <v>1</v>
      </c>
      <c r="J37" s="365">
        <v>0.93979999999999997</v>
      </c>
      <c r="K37" s="365">
        <v>1</v>
      </c>
      <c r="L37" s="365">
        <v>0.94569999999999999</v>
      </c>
      <c r="M37" s="365">
        <v>0.8</v>
      </c>
      <c r="N37" s="365">
        <v>1</v>
      </c>
      <c r="O37" s="365">
        <v>0</v>
      </c>
      <c r="P37" s="365">
        <v>1</v>
      </c>
      <c r="Q37" s="366">
        <v>0.89859999999999995</v>
      </c>
      <c r="R37" s="367">
        <v>0</v>
      </c>
      <c r="S37" s="366">
        <v>0.89859999999999995</v>
      </c>
      <c r="T37" s="1"/>
      <c r="U37" s="1"/>
      <c r="V37" s="1"/>
      <c r="W37" s="1"/>
      <c r="X37" s="1"/>
      <c r="Y37" s="1"/>
      <c r="Z37" s="1"/>
      <c r="AA37" s="1"/>
      <c r="AB37" s="1"/>
    </row>
    <row r="38" spans="1:28" ht="18" x14ac:dyDescent="0.3">
      <c r="A38" s="1"/>
      <c r="B38" s="364">
        <v>4</v>
      </c>
      <c r="C38" s="68">
        <v>34</v>
      </c>
      <c r="D38" s="69">
        <v>80661440</v>
      </c>
      <c r="E38" s="69" t="s">
        <v>154</v>
      </c>
      <c r="F38" s="24" t="s">
        <v>630</v>
      </c>
      <c r="G38" s="365">
        <v>1</v>
      </c>
      <c r="H38" s="365">
        <v>1</v>
      </c>
      <c r="I38" s="365">
        <v>1</v>
      </c>
      <c r="J38" s="365">
        <v>0.86019999999999996</v>
      </c>
      <c r="K38" s="365">
        <v>1</v>
      </c>
      <c r="L38" s="365">
        <v>0.9919</v>
      </c>
      <c r="M38" s="365">
        <v>0.8</v>
      </c>
      <c r="N38" s="365">
        <v>0.5</v>
      </c>
      <c r="O38" s="365">
        <v>0</v>
      </c>
      <c r="P38" s="365">
        <v>1</v>
      </c>
      <c r="Q38" s="366">
        <v>0.85519999999999996</v>
      </c>
      <c r="R38" s="367">
        <v>0</v>
      </c>
      <c r="S38" s="366">
        <v>0.85519999999999996</v>
      </c>
      <c r="T38" s="1"/>
      <c r="U38" s="1"/>
      <c r="V38" s="1"/>
      <c r="W38" s="1"/>
      <c r="X38" s="1"/>
      <c r="Y38" s="1"/>
      <c r="Z38" s="1"/>
      <c r="AA38" s="1"/>
      <c r="AB38" s="1"/>
    </row>
    <row r="39" spans="1:28" ht="18" x14ac:dyDescent="0.3">
      <c r="A39" s="1"/>
      <c r="B39" s="364">
        <v>6</v>
      </c>
      <c r="C39" s="68">
        <v>35</v>
      </c>
      <c r="D39" s="69">
        <v>80670788</v>
      </c>
      <c r="E39" s="69" t="s">
        <v>155</v>
      </c>
      <c r="F39" s="24" t="s">
        <v>630</v>
      </c>
      <c r="G39" s="365">
        <v>1</v>
      </c>
      <c r="H39" s="365">
        <v>0.99</v>
      </c>
      <c r="I39" s="365">
        <v>1</v>
      </c>
      <c r="J39" s="365">
        <v>0.71230000000000004</v>
      </c>
      <c r="K39" s="365">
        <v>0</v>
      </c>
      <c r="L39" s="365">
        <v>1</v>
      </c>
      <c r="M39" s="365">
        <v>1</v>
      </c>
      <c r="N39" s="365">
        <v>0.5</v>
      </c>
      <c r="O39" s="365">
        <v>0</v>
      </c>
      <c r="P39" s="365">
        <v>1</v>
      </c>
      <c r="Q39" s="366">
        <v>0.86070000000000002</v>
      </c>
      <c r="R39" s="367">
        <v>0</v>
      </c>
      <c r="S39" s="366">
        <v>0.86070000000000002</v>
      </c>
      <c r="T39" s="1"/>
      <c r="U39" s="1"/>
      <c r="V39" s="1"/>
      <c r="W39" s="1"/>
      <c r="X39" s="1"/>
      <c r="Y39" s="1"/>
      <c r="Z39" s="1"/>
      <c r="AA39" s="1"/>
      <c r="AB39" s="1"/>
    </row>
    <row r="40" spans="1:28" ht="18" x14ac:dyDescent="0.3">
      <c r="A40" s="1"/>
      <c r="B40" s="364">
        <v>8</v>
      </c>
      <c r="C40" s="68">
        <v>36</v>
      </c>
      <c r="D40" s="69">
        <v>80670782</v>
      </c>
      <c r="E40" s="69" t="s">
        <v>156</v>
      </c>
      <c r="F40" s="24" t="s">
        <v>630</v>
      </c>
      <c r="G40" s="365">
        <v>1</v>
      </c>
      <c r="H40" s="365">
        <v>1</v>
      </c>
      <c r="I40" s="365">
        <v>1</v>
      </c>
      <c r="J40" s="365">
        <v>0.9355</v>
      </c>
      <c r="K40" s="365">
        <v>1</v>
      </c>
      <c r="L40" s="365">
        <v>0.99780000000000002</v>
      </c>
      <c r="M40" s="365">
        <v>1</v>
      </c>
      <c r="N40" s="365">
        <v>1</v>
      </c>
      <c r="O40" s="365">
        <v>1</v>
      </c>
      <c r="P40" s="365">
        <v>1</v>
      </c>
      <c r="Q40" s="366">
        <v>0.99329999999999996</v>
      </c>
      <c r="R40" s="367">
        <v>0</v>
      </c>
      <c r="S40" s="366">
        <v>0.99329999999999996</v>
      </c>
      <c r="T40" s="1"/>
      <c r="U40" s="1"/>
      <c r="V40" s="1"/>
      <c r="W40" s="1"/>
      <c r="X40" s="1"/>
      <c r="Y40" s="1"/>
      <c r="Z40" s="1"/>
      <c r="AA40" s="1"/>
      <c r="AB40" s="1"/>
    </row>
    <row r="41" spans="1:28" ht="18" x14ac:dyDescent="0.3">
      <c r="A41" s="1"/>
      <c r="B41" s="364">
        <v>1</v>
      </c>
      <c r="C41" s="68">
        <v>37</v>
      </c>
      <c r="D41" s="69">
        <v>80667637</v>
      </c>
      <c r="E41" s="69" t="s">
        <v>587</v>
      </c>
      <c r="F41" s="24" t="s">
        <v>696</v>
      </c>
      <c r="G41" s="365">
        <v>0.98</v>
      </c>
      <c r="H41" s="365">
        <v>0.98</v>
      </c>
      <c r="I41" s="365">
        <v>1</v>
      </c>
      <c r="J41" s="365">
        <v>0.69640000000000002</v>
      </c>
      <c r="K41" s="365">
        <v>0</v>
      </c>
      <c r="L41" s="365">
        <v>0.98819999999999997</v>
      </c>
      <c r="M41" s="365">
        <v>1</v>
      </c>
      <c r="N41" s="365">
        <v>0.5</v>
      </c>
      <c r="O41" s="365">
        <v>1</v>
      </c>
      <c r="P41" s="365">
        <v>0.5</v>
      </c>
      <c r="Q41" s="366">
        <v>0.85050000000000003</v>
      </c>
      <c r="R41" s="367">
        <v>0</v>
      </c>
      <c r="S41" s="366">
        <v>0.85050000000000003</v>
      </c>
      <c r="T41" s="1"/>
      <c r="U41" s="1"/>
      <c r="V41" s="1"/>
      <c r="W41" s="1"/>
      <c r="X41" s="1"/>
      <c r="Y41" s="1"/>
      <c r="Z41" s="1"/>
      <c r="AA41" s="1"/>
      <c r="AB41" s="1"/>
    </row>
    <row r="42" spans="1:28" ht="18" x14ac:dyDescent="0.3">
      <c r="A42" s="1"/>
      <c r="B42" s="364">
        <v>3</v>
      </c>
      <c r="C42" s="68">
        <v>38</v>
      </c>
      <c r="D42" s="69">
        <v>80661224</v>
      </c>
      <c r="E42" s="69" t="s">
        <v>588</v>
      </c>
      <c r="F42" s="24" t="s">
        <v>696</v>
      </c>
      <c r="G42" s="365">
        <v>1</v>
      </c>
      <c r="H42" s="365">
        <v>1</v>
      </c>
      <c r="I42" s="365">
        <v>1</v>
      </c>
      <c r="J42" s="365">
        <v>1</v>
      </c>
      <c r="K42" s="365">
        <v>1</v>
      </c>
      <c r="L42" s="365">
        <v>1</v>
      </c>
      <c r="M42" s="365">
        <v>1</v>
      </c>
      <c r="N42" s="365">
        <v>0.5</v>
      </c>
      <c r="O42" s="365">
        <v>0</v>
      </c>
      <c r="P42" s="365">
        <v>1</v>
      </c>
      <c r="Q42" s="366">
        <v>0.94</v>
      </c>
      <c r="R42" s="367">
        <v>0</v>
      </c>
      <c r="S42" s="366">
        <v>0.94</v>
      </c>
      <c r="T42" s="1"/>
      <c r="U42" s="1"/>
      <c r="V42" s="1"/>
      <c r="W42" s="1"/>
      <c r="X42" s="1"/>
      <c r="Y42" s="1"/>
      <c r="Z42" s="1"/>
      <c r="AA42" s="1"/>
      <c r="AB42" s="1"/>
    </row>
    <row r="43" spans="1:28" ht="18" x14ac:dyDescent="0.3">
      <c r="A43" s="1"/>
      <c r="B43" s="364">
        <v>4</v>
      </c>
      <c r="C43" s="68">
        <v>39</v>
      </c>
      <c r="D43" s="69">
        <v>80671873</v>
      </c>
      <c r="E43" s="69" t="s">
        <v>589</v>
      </c>
      <c r="F43" s="24" t="s">
        <v>696</v>
      </c>
      <c r="G43" s="365">
        <v>1</v>
      </c>
      <c r="H43" s="365">
        <v>1</v>
      </c>
      <c r="I43" s="365">
        <v>0.99490000000000001</v>
      </c>
      <c r="J43" s="365">
        <v>0.95689999999999997</v>
      </c>
      <c r="K43" s="365">
        <v>1</v>
      </c>
      <c r="L43" s="365">
        <v>0.99590000000000001</v>
      </c>
      <c r="M43" s="365">
        <v>0.8</v>
      </c>
      <c r="N43" s="365">
        <v>0</v>
      </c>
      <c r="O43" s="365">
        <v>0</v>
      </c>
      <c r="P43" s="365">
        <v>0.75</v>
      </c>
      <c r="Q43" s="366">
        <v>0.81230000000000002</v>
      </c>
      <c r="R43" s="367">
        <v>0</v>
      </c>
      <c r="S43" s="366">
        <v>0.81230000000000002</v>
      </c>
      <c r="T43" s="1"/>
      <c r="U43" s="1"/>
      <c r="V43" s="1"/>
      <c r="W43" s="1"/>
      <c r="X43" s="1"/>
      <c r="Y43" s="1"/>
      <c r="Z43" s="1"/>
      <c r="AA43" s="1"/>
      <c r="AB43" s="1"/>
    </row>
    <row r="44" spans="1:28" ht="18" x14ac:dyDescent="0.3">
      <c r="A44" s="1"/>
      <c r="B44" s="364">
        <v>5</v>
      </c>
      <c r="C44" s="68">
        <v>40</v>
      </c>
      <c r="D44" s="69">
        <v>80661433</v>
      </c>
      <c r="E44" s="69" t="s">
        <v>590</v>
      </c>
      <c r="F44" s="24" t="s">
        <v>696</v>
      </c>
      <c r="G44" s="365">
        <v>1</v>
      </c>
      <c r="H44" s="365">
        <v>1</v>
      </c>
      <c r="I44" s="365">
        <v>1</v>
      </c>
      <c r="J44" s="365">
        <v>1</v>
      </c>
      <c r="K44" s="365">
        <v>1</v>
      </c>
      <c r="L44" s="365">
        <v>1</v>
      </c>
      <c r="M44" s="365">
        <v>1</v>
      </c>
      <c r="N44" s="365">
        <v>0.5</v>
      </c>
      <c r="O44" s="365">
        <v>1</v>
      </c>
      <c r="P44" s="365">
        <v>0.5</v>
      </c>
      <c r="Q44" s="366">
        <v>0.93500000000000005</v>
      </c>
      <c r="R44" s="367">
        <v>0</v>
      </c>
      <c r="S44" s="366">
        <v>0.93500000000000005</v>
      </c>
      <c r="T44" s="1"/>
      <c r="U44" s="1"/>
      <c r="V44" s="1"/>
      <c r="W44" s="1"/>
      <c r="X44" s="1"/>
      <c r="Y44" s="1"/>
      <c r="Z44" s="1"/>
      <c r="AA44" s="1"/>
      <c r="AB44" s="1"/>
    </row>
    <row r="45" spans="1:28" ht="18" x14ac:dyDescent="0.3">
      <c r="A45" s="1"/>
      <c r="B45" s="364">
        <v>6</v>
      </c>
      <c r="C45" s="68">
        <v>41</v>
      </c>
      <c r="D45" s="69">
        <v>80662050</v>
      </c>
      <c r="E45" s="69" t="s">
        <v>591</v>
      </c>
      <c r="F45" s="24" t="s">
        <v>696</v>
      </c>
      <c r="G45" s="365">
        <v>1</v>
      </c>
      <c r="H45" s="365">
        <v>1</v>
      </c>
      <c r="I45" s="365">
        <v>1</v>
      </c>
      <c r="J45" s="365">
        <v>0.91249999999999998</v>
      </c>
      <c r="K45" s="365">
        <v>1</v>
      </c>
      <c r="L45" s="365">
        <v>0.98</v>
      </c>
      <c r="M45" s="365">
        <v>0.8</v>
      </c>
      <c r="N45" s="365">
        <v>0.5</v>
      </c>
      <c r="O45" s="365">
        <v>1</v>
      </c>
      <c r="P45" s="365">
        <v>0.5</v>
      </c>
      <c r="Q45" s="366">
        <v>0.85419999999999996</v>
      </c>
      <c r="R45" s="367">
        <v>0</v>
      </c>
      <c r="S45" s="366">
        <v>0.85419999999999996</v>
      </c>
      <c r="T45" s="1"/>
      <c r="U45" s="1"/>
      <c r="V45" s="1"/>
      <c r="W45" s="1"/>
      <c r="X45" s="1"/>
      <c r="Y45" s="1"/>
      <c r="Z45" s="1"/>
      <c r="AA45" s="1"/>
      <c r="AB45" s="1"/>
    </row>
    <row r="46" spans="1:28" ht="18" x14ac:dyDescent="0.3">
      <c r="A46" s="1"/>
      <c r="B46" s="364">
        <v>7</v>
      </c>
      <c r="C46" s="68">
        <v>42</v>
      </c>
      <c r="D46" s="69">
        <v>80661217</v>
      </c>
      <c r="E46" s="69" t="s">
        <v>592</v>
      </c>
      <c r="F46" s="24" t="s">
        <v>696</v>
      </c>
      <c r="G46" s="365">
        <v>1</v>
      </c>
      <c r="H46" s="365">
        <v>1</v>
      </c>
      <c r="I46" s="365">
        <v>1</v>
      </c>
      <c r="J46" s="365">
        <v>1</v>
      </c>
      <c r="K46" s="365">
        <v>1</v>
      </c>
      <c r="L46" s="365">
        <v>0.99329999999999996</v>
      </c>
      <c r="M46" s="365">
        <v>1</v>
      </c>
      <c r="N46" s="365">
        <v>0.5</v>
      </c>
      <c r="O46" s="365">
        <v>0</v>
      </c>
      <c r="P46" s="365">
        <v>0.5</v>
      </c>
      <c r="Q46" s="366">
        <v>0.9143</v>
      </c>
      <c r="R46" s="367">
        <v>0</v>
      </c>
      <c r="S46" s="366">
        <v>0.9143</v>
      </c>
      <c r="T46" s="1"/>
      <c r="U46" s="1"/>
      <c r="V46" s="1"/>
      <c r="W46" s="1"/>
      <c r="X46" s="1"/>
      <c r="Y46" s="1"/>
      <c r="Z46" s="1"/>
      <c r="AA46" s="1"/>
      <c r="AB46" s="1"/>
    </row>
    <row r="47" spans="1:28" ht="18" x14ac:dyDescent="0.3">
      <c r="A47" s="1"/>
      <c r="B47" s="364">
        <v>1</v>
      </c>
      <c r="C47" s="68">
        <v>43</v>
      </c>
      <c r="D47" s="69">
        <v>80658689</v>
      </c>
      <c r="E47" s="69" t="s">
        <v>96</v>
      </c>
      <c r="F47" s="24" t="s">
        <v>639</v>
      </c>
      <c r="G47" s="365">
        <v>0.98</v>
      </c>
      <c r="H47" s="365">
        <v>1</v>
      </c>
      <c r="I47" s="365">
        <v>1</v>
      </c>
      <c r="J47" s="365">
        <v>1</v>
      </c>
      <c r="K47" s="365">
        <v>1</v>
      </c>
      <c r="L47" s="365">
        <v>0.93459999999999999</v>
      </c>
      <c r="M47" s="365">
        <v>1</v>
      </c>
      <c r="N47" s="365">
        <v>0</v>
      </c>
      <c r="O47" s="365">
        <v>1</v>
      </c>
      <c r="P47" s="365">
        <v>1</v>
      </c>
      <c r="Q47" s="366">
        <v>0.91149999999999998</v>
      </c>
      <c r="R47" s="367">
        <v>0</v>
      </c>
      <c r="S47" s="366">
        <v>0.91149999999999998</v>
      </c>
      <c r="T47" s="1"/>
      <c r="U47" s="1"/>
      <c r="V47" s="1"/>
      <c r="W47" s="1"/>
      <c r="X47" s="1"/>
      <c r="Y47" s="1"/>
      <c r="Z47" s="1"/>
      <c r="AA47" s="1"/>
      <c r="AB47" s="1"/>
    </row>
    <row r="48" spans="1:28" ht="18" x14ac:dyDescent="0.3">
      <c r="A48" s="1"/>
      <c r="B48" s="364">
        <v>2</v>
      </c>
      <c r="C48" s="68">
        <v>44</v>
      </c>
      <c r="D48" s="69">
        <v>80665185</v>
      </c>
      <c r="E48" s="69" t="s">
        <v>97</v>
      </c>
      <c r="F48" s="24" t="s">
        <v>639</v>
      </c>
      <c r="G48" s="365">
        <v>1</v>
      </c>
      <c r="H48" s="365">
        <v>1</v>
      </c>
      <c r="I48" s="365">
        <v>1</v>
      </c>
      <c r="J48" s="365">
        <v>1</v>
      </c>
      <c r="K48" s="365">
        <v>1</v>
      </c>
      <c r="L48" s="365">
        <v>0.99770000000000003</v>
      </c>
      <c r="M48" s="365">
        <v>1</v>
      </c>
      <c r="N48" s="365">
        <v>1</v>
      </c>
      <c r="O48" s="365">
        <v>0</v>
      </c>
      <c r="P48" s="365">
        <v>1</v>
      </c>
      <c r="Q48" s="366">
        <v>0.9798</v>
      </c>
      <c r="R48" s="367">
        <v>0</v>
      </c>
      <c r="S48" s="366">
        <v>0.9798</v>
      </c>
      <c r="T48" s="1"/>
      <c r="U48" s="1"/>
      <c r="V48" s="1"/>
      <c r="W48" s="1"/>
      <c r="X48" s="1"/>
      <c r="Y48" s="1"/>
      <c r="Z48" s="1"/>
      <c r="AA48" s="1"/>
      <c r="AB48" s="1"/>
    </row>
    <row r="49" spans="1:28" ht="18" x14ac:dyDescent="0.3">
      <c r="A49" s="1"/>
      <c r="B49" s="364">
        <v>3</v>
      </c>
      <c r="C49" s="68">
        <v>45</v>
      </c>
      <c r="D49" s="69">
        <v>80668956</v>
      </c>
      <c r="E49" s="69" t="s">
        <v>98</v>
      </c>
      <c r="F49" s="24" t="s">
        <v>639</v>
      </c>
      <c r="G49" s="365">
        <v>1</v>
      </c>
      <c r="H49" s="365">
        <v>1</v>
      </c>
      <c r="I49" s="365">
        <v>1</v>
      </c>
      <c r="J49" s="365">
        <v>1</v>
      </c>
      <c r="K49" s="365">
        <v>1</v>
      </c>
      <c r="L49" s="365">
        <v>0.98260000000000003</v>
      </c>
      <c r="M49" s="365">
        <v>1</v>
      </c>
      <c r="N49" s="365">
        <v>1</v>
      </c>
      <c r="O49" s="365">
        <v>1</v>
      </c>
      <c r="P49" s="365">
        <v>1</v>
      </c>
      <c r="Q49" s="366">
        <v>0.99829999999999997</v>
      </c>
      <c r="R49" s="367">
        <v>0</v>
      </c>
      <c r="S49" s="366">
        <v>0.99829999999999997</v>
      </c>
      <c r="T49" s="1"/>
      <c r="U49" s="1"/>
      <c r="V49" s="1"/>
      <c r="W49" s="1"/>
      <c r="X49" s="1"/>
      <c r="Y49" s="1"/>
      <c r="Z49" s="1"/>
      <c r="AA49" s="1"/>
      <c r="AB49" s="1"/>
    </row>
    <row r="50" spans="1:28" ht="18" x14ac:dyDescent="0.3">
      <c r="A50" s="1"/>
      <c r="B50" s="364">
        <v>4</v>
      </c>
      <c r="C50" s="68">
        <v>46</v>
      </c>
      <c r="D50" s="69">
        <v>80664147</v>
      </c>
      <c r="E50" s="69" t="s">
        <v>99</v>
      </c>
      <c r="F50" s="24" t="s">
        <v>639</v>
      </c>
      <c r="G50" s="365">
        <v>1</v>
      </c>
      <c r="H50" s="365">
        <v>1</v>
      </c>
      <c r="I50" s="365">
        <v>1</v>
      </c>
      <c r="J50" s="365">
        <v>1</v>
      </c>
      <c r="K50" s="365">
        <v>1</v>
      </c>
      <c r="L50" s="365">
        <v>1</v>
      </c>
      <c r="M50" s="365">
        <v>1</v>
      </c>
      <c r="N50" s="365">
        <v>0.5</v>
      </c>
      <c r="O50" s="365">
        <v>1</v>
      </c>
      <c r="P50" s="365">
        <v>1</v>
      </c>
      <c r="Q50" s="366">
        <v>0.96</v>
      </c>
      <c r="R50" s="367">
        <v>0</v>
      </c>
      <c r="S50" s="366">
        <v>0.96</v>
      </c>
      <c r="T50" s="1"/>
      <c r="U50" s="1"/>
      <c r="V50" s="1"/>
      <c r="W50" s="1"/>
      <c r="X50" s="1"/>
      <c r="Y50" s="1"/>
      <c r="Z50" s="1"/>
      <c r="AA50" s="1"/>
      <c r="AB50" s="1"/>
    </row>
    <row r="51" spans="1:28" ht="18" x14ac:dyDescent="0.3">
      <c r="A51" s="1"/>
      <c r="B51" s="364">
        <v>5</v>
      </c>
      <c r="C51" s="68">
        <v>47</v>
      </c>
      <c r="D51" s="69">
        <v>80665546</v>
      </c>
      <c r="E51" s="69" t="s">
        <v>100</v>
      </c>
      <c r="F51" s="24" t="s">
        <v>639</v>
      </c>
      <c r="G51" s="365">
        <v>1</v>
      </c>
      <c r="H51" s="365">
        <v>1</v>
      </c>
      <c r="I51" s="365">
        <v>1</v>
      </c>
      <c r="J51" s="365">
        <v>1</v>
      </c>
      <c r="K51" s="365">
        <v>1</v>
      </c>
      <c r="L51" s="365">
        <v>0.92510000000000003</v>
      </c>
      <c r="M51" s="365">
        <v>1</v>
      </c>
      <c r="N51" s="365">
        <v>0.5</v>
      </c>
      <c r="O51" s="365">
        <v>0</v>
      </c>
      <c r="P51" s="365">
        <v>1</v>
      </c>
      <c r="Q51" s="366">
        <v>0.9325</v>
      </c>
      <c r="R51" s="367">
        <v>0</v>
      </c>
      <c r="S51" s="366">
        <v>0.9325</v>
      </c>
      <c r="T51" s="1"/>
      <c r="U51" s="1"/>
      <c r="V51" s="1"/>
      <c r="W51" s="1"/>
      <c r="X51" s="1"/>
      <c r="Y51" s="1"/>
      <c r="Z51" s="1"/>
      <c r="AA51" s="1"/>
      <c r="AB51" s="1"/>
    </row>
    <row r="52" spans="1:28" ht="18" x14ac:dyDescent="0.3">
      <c r="A52" s="1"/>
      <c r="B52" s="364">
        <v>6</v>
      </c>
      <c r="C52" s="68">
        <v>48</v>
      </c>
      <c r="D52" s="69">
        <v>80668042</v>
      </c>
      <c r="E52" s="77" t="s">
        <v>116</v>
      </c>
      <c r="F52" s="24" t="s">
        <v>618</v>
      </c>
      <c r="G52" s="365">
        <v>1</v>
      </c>
      <c r="H52" s="365">
        <v>1</v>
      </c>
      <c r="I52" s="365">
        <v>1</v>
      </c>
      <c r="J52" s="365">
        <v>1</v>
      </c>
      <c r="K52" s="365">
        <v>1</v>
      </c>
      <c r="L52" s="365">
        <v>1</v>
      </c>
      <c r="M52" s="365">
        <v>1</v>
      </c>
      <c r="N52" s="365">
        <v>1</v>
      </c>
      <c r="O52" s="365">
        <v>1</v>
      </c>
      <c r="P52" s="365">
        <v>1</v>
      </c>
      <c r="Q52" s="366">
        <v>1</v>
      </c>
      <c r="R52" s="367">
        <v>0</v>
      </c>
      <c r="S52" s="366">
        <v>1</v>
      </c>
      <c r="T52" s="1"/>
      <c r="U52" s="1"/>
      <c r="V52" s="1"/>
      <c r="W52" s="1"/>
      <c r="X52" s="1"/>
      <c r="Y52" s="1"/>
      <c r="Z52" s="1"/>
      <c r="AA52" s="1"/>
      <c r="AB52" s="1"/>
    </row>
    <row r="53" spans="1:28" ht="18" x14ac:dyDescent="0.3">
      <c r="A53" s="1"/>
      <c r="B53" s="364">
        <v>7</v>
      </c>
      <c r="C53" s="68">
        <v>49</v>
      </c>
      <c r="D53" s="69">
        <v>80663070</v>
      </c>
      <c r="E53" s="69" t="s">
        <v>117</v>
      </c>
      <c r="F53" s="24" t="s">
        <v>618</v>
      </c>
      <c r="G53" s="365">
        <v>1</v>
      </c>
      <c r="H53" s="365">
        <v>1</v>
      </c>
      <c r="I53" s="365">
        <v>1</v>
      </c>
      <c r="J53" s="365">
        <v>1</v>
      </c>
      <c r="K53" s="365">
        <v>1</v>
      </c>
      <c r="L53" s="365">
        <v>0.99129999999999996</v>
      </c>
      <c r="M53" s="365">
        <v>1</v>
      </c>
      <c r="N53" s="365">
        <v>1</v>
      </c>
      <c r="O53" s="365">
        <v>1</v>
      </c>
      <c r="P53" s="365">
        <v>1</v>
      </c>
      <c r="Q53" s="366">
        <v>0.99909999999999999</v>
      </c>
      <c r="R53" s="367">
        <v>0</v>
      </c>
      <c r="S53" s="366">
        <v>0.99909999999999999</v>
      </c>
      <c r="T53" s="1"/>
      <c r="U53" s="1"/>
      <c r="V53" s="1"/>
      <c r="W53" s="1"/>
      <c r="X53" s="1"/>
      <c r="Y53" s="1"/>
      <c r="Z53" s="1"/>
      <c r="AA53" s="1"/>
      <c r="AB53" s="1"/>
    </row>
    <row r="54" spans="1:28" ht="18" x14ac:dyDescent="0.3">
      <c r="A54" s="1"/>
      <c r="B54" s="364">
        <v>1</v>
      </c>
      <c r="C54" s="68">
        <v>50</v>
      </c>
      <c r="D54" s="69">
        <v>80665323</v>
      </c>
      <c r="E54" s="69" t="s">
        <v>118</v>
      </c>
      <c r="F54" s="24" t="s">
        <v>618</v>
      </c>
      <c r="G54" s="365">
        <v>1</v>
      </c>
      <c r="H54" s="365">
        <v>1</v>
      </c>
      <c r="I54" s="365">
        <v>1</v>
      </c>
      <c r="J54" s="365">
        <v>1</v>
      </c>
      <c r="K54" s="365">
        <v>1</v>
      </c>
      <c r="L54" s="365">
        <v>1</v>
      </c>
      <c r="M54" s="365">
        <v>1</v>
      </c>
      <c r="N54" s="365">
        <v>1</v>
      </c>
      <c r="O54" s="365">
        <v>1</v>
      </c>
      <c r="P54" s="365">
        <v>1</v>
      </c>
      <c r="Q54" s="366">
        <v>1</v>
      </c>
      <c r="R54" s="367">
        <v>0</v>
      </c>
      <c r="S54" s="366">
        <v>1</v>
      </c>
      <c r="T54" s="1"/>
      <c r="U54" s="1"/>
      <c r="V54" s="1"/>
      <c r="W54" s="1"/>
      <c r="X54" s="1"/>
      <c r="Y54" s="1"/>
      <c r="Z54" s="1"/>
      <c r="AA54" s="1"/>
      <c r="AB54" s="1"/>
    </row>
    <row r="55" spans="1:28" ht="18" x14ac:dyDescent="0.3">
      <c r="A55" s="1"/>
      <c r="B55" s="364">
        <v>2</v>
      </c>
      <c r="C55" s="68">
        <v>51</v>
      </c>
      <c r="D55" s="69">
        <v>80658696</v>
      </c>
      <c r="E55" s="69" t="s">
        <v>119</v>
      </c>
      <c r="F55" s="24" t="s">
        <v>618</v>
      </c>
      <c r="G55" s="365">
        <v>0.98</v>
      </c>
      <c r="H55" s="365">
        <v>1</v>
      </c>
      <c r="I55" s="365">
        <v>1</v>
      </c>
      <c r="J55" s="365">
        <v>0.87660000000000005</v>
      </c>
      <c r="K55" s="365">
        <v>1</v>
      </c>
      <c r="L55" s="365">
        <v>0.98370000000000002</v>
      </c>
      <c r="M55" s="365">
        <v>1</v>
      </c>
      <c r="N55" s="365">
        <v>0</v>
      </c>
      <c r="O55" s="365">
        <v>0</v>
      </c>
      <c r="P55" s="365">
        <v>1</v>
      </c>
      <c r="Q55" s="366">
        <v>0.88400000000000001</v>
      </c>
      <c r="R55" s="367">
        <v>0</v>
      </c>
      <c r="S55" s="366">
        <v>0.88400000000000001</v>
      </c>
      <c r="T55" s="1"/>
      <c r="U55" s="1"/>
      <c r="V55" s="1"/>
      <c r="W55" s="1"/>
      <c r="X55" s="1"/>
      <c r="Y55" s="1"/>
      <c r="Z55" s="1"/>
      <c r="AA55" s="1"/>
      <c r="AB55" s="1"/>
    </row>
    <row r="56" spans="1:28" ht="18" x14ac:dyDescent="0.3">
      <c r="A56" s="1"/>
      <c r="B56" s="364">
        <v>3</v>
      </c>
      <c r="C56" s="68">
        <v>52</v>
      </c>
      <c r="D56" s="69">
        <v>80668527</v>
      </c>
      <c r="E56" s="69" t="s">
        <v>120</v>
      </c>
      <c r="F56" s="24" t="s">
        <v>618</v>
      </c>
      <c r="G56" s="365">
        <v>1</v>
      </c>
      <c r="H56" s="365">
        <v>1</v>
      </c>
      <c r="I56" s="365">
        <v>1</v>
      </c>
      <c r="J56" s="365">
        <v>0.93059999999999998</v>
      </c>
      <c r="K56" s="365">
        <v>1</v>
      </c>
      <c r="L56" s="365">
        <v>0.99129999999999996</v>
      </c>
      <c r="M56" s="365">
        <v>1</v>
      </c>
      <c r="N56" s="365">
        <v>1</v>
      </c>
      <c r="O56" s="365">
        <v>0</v>
      </c>
      <c r="P56" s="365">
        <v>1</v>
      </c>
      <c r="Q56" s="366">
        <v>0.97219999999999995</v>
      </c>
      <c r="R56" s="367">
        <v>0</v>
      </c>
      <c r="S56" s="366">
        <v>0.97219999999999995</v>
      </c>
      <c r="T56" s="1"/>
      <c r="U56" s="1"/>
      <c r="V56" s="1"/>
      <c r="W56" s="1"/>
      <c r="X56" s="1"/>
      <c r="Y56" s="1"/>
      <c r="Z56" s="1"/>
      <c r="AA56" s="1"/>
      <c r="AB56" s="1"/>
    </row>
    <row r="57" spans="1:28" ht="18" x14ac:dyDescent="0.3">
      <c r="A57" s="1"/>
      <c r="B57" s="364">
        <v>4</v>
      </c>
      <c r="C57" s="68">
        <v>53</v>
      </c>
      <c r="D57" s="69">
        <v>80660884</v>
      </c>
      <c r="E57" s="69" t="s">
        <v>447</v>
      </c>
      <c r="F57" s="24" t="s">
        <v>691</v>
      </c>
      <c r="G57" s="365">
        <v>1</v>
      </c>
      <c r="H57" s="365">
        <v>1</v>
      </c>
      <c r="I57" s="365">
        <v>1</v>
      </c>
      <c r="J57" s="365">
        <v>1</v>
      </c>
      <c r="K57" s="365">
        <v>1</v>
      </c>
      <c r="L57" s="365">
        <v>1</v>
      </c>
      <c r="M57" s="365">
        <v>1</v>
      </c>
      <c r="N57" s="365">
        <v>1</v>
      </c>
      <c r="O57" s="365">
        <v>0</v>
      </c>
      <c r="P57" s="365">
        <v>0.5</v>
      </c>
      <c r="Q57" s="366">
        <v>0.95499999999999996</v>
      </c>
      <c r="R57" s="367">
        <v>0</v>
      </c>
      <c r="S57" s="366">
        <v>0.95499999999999996</v>
      </c>
      <c r="T57" s="1"/>
      <c r="U57" s="1"/>
      <c r="V57" s="1"/>
      <c r="W57" s="1"/>
      <c r="X57" s="1"/>
      <c r="Y57" s="1"/>
      <c r="Z57" s="1"/>
      <c r="AA57" s="1"/>
      <c r="AB57" s="1"/>
    </row>
    <row r="58" spans="1:28" ht="18" x14ac:dyDescent="0.3">
      <c r="A58" s="1"/>
      <c r="B58" s="364">
        <v>5</v>
      </c>
      <c r="C58" s="68">
        <v>54</v>
      </c>
      <c r="D58" s="69">
        <v>80668533</v>
      </c>
      <c r="E58" s="69" t="s">
        <v>448</v>
      </c>
      <c r="F58" s="24" t="s">
        <v>691</v>
      </c>
      <c r="G58" s="365">
        <v>1</v>
      </c>
      <c r="H58" s="365">
        <v>1</v>
      </c>
      <c r="I58" s="365">
        <v>0.98180000000000001</v>
      </c>
      <c r="J58" s="365">
        <v>1</v>
      </c>
      <c r="K58" s="365">
        <v>1</v>
      </c>
      <c r="L58" s="365">
        <v>0.99280000000000002</v>
      </c>
      <c r="M58" s="365">
        <v>0.8</v>
      </c>
      <c r="N58" s="365">
        <v>1</v>
      </c>
      <c r="O58" s="365">
        <v>0</v>
      </c>
      <c r="P58" s="365">
        <v>1</v>
      </c>
      <c r="Q58" s="366">
        <v>0.90749999999999997</v>
      </c>
      <c r="R58" s="367">
        <v>0</v>
      </c>
      <c r="S58" s="366">
        <v>0.90749999999999997</v>
      </c>
      <c r="T58" s="1"/>
      <c r="U58" s="1"/>
      <c r="V58" s="1"/>
      <c r="W58" s="1"/>
      <c r="X58" s="1"/>
      <c r="Y58" s="1"/>
      <c r="Z58" s="1"/>
      <c r="AA58" s="1"/>
      <c r="AB58" s="1"/>
    </row>
    <row r="59" spans="1:28" ht="18" x14ac:dyDescent="0.3">
      <c r="A59" s="1"/>
      <c r="B59" s="364">
        <v>6</v>
      </c>
      <c r="C59" s="68">
        <v>55</v>
      </c>
      <c r="D59" s="69">
        <v>80673114</v>
      </c>
      <c r="E59" s="69" t="s">
        <v>449</v>
      </c>
      <c r="F59" s="24" t="s">
        <v>691</v>
      </c>
      <c r="G59" s="365">
        <v>0.98</v>
      </c>
      <c r="H59" s="365">
        <v>1</v>
      </c>
      <c r="I59" s="365">
        <v>1</v>
      </c>
      <c r="J59" s="365">
        <v>1</v>
      </c>
      <c r="K59" s="365">
        <v>1</v>
      </c>
      <c r="L59" s="365">
        <v>0.94969999999999999</v>
      </c>
      <c r="M59" s="365">
        <v>0.8</v>
      </c>
      <c r="N59" s="365">
        <v>0.5</v>
      </c>
      <c r="O59" s="365">
        <v>0</v>
      </c>
      <c r="P59" s="365">
        <v>1</v>
      </c>
      <c r="Q59" s="366">
        <v>0.86299999999999999</v>
      </c>
      <c r="R59" s="367">
        <v>0</v>
      </c>
      <c r="S59" s="366">
        <v>0.86299999999999999</v>
      </c>
      <c r="T59" s="1"/>
      <c r="U59" s="1"/>
      <c r="V59" s="1"/>
      <c r="W59" s="1"/>
      <c r="X59" s="1"/>
      <c r="Y59" s="1"/>
      <c r="Z59" s="1"/>
      <c r="AA59" s="1"/>
      <c r="AB59" s="1"/>
    </row>
    <row r="60" spans="1:28" ht="18" x14ac:dyDescent="0.3">
      <c r="A60" s="1"/>
      <c r="B60" s="364">
        <v>7</v>
      </c>
      <c r="C60" s="68">
        <v>56</v>
      </c>
      <c r="D60" s="69">
        <v>80658111</v>
      </c>
      <c r="E60" s="69" t="s">
        <v>450</v>
      </c>
      <c r="F60" s="24" t="s">
        <v>691</v>
      </c>
      <c r="G60" s="365">
        <v>0.94</v>
      </c>
      <c r="H60" s="365">
        <v>0.99</v>
      </c>
      <c r="I60" s="365">
        <v>1</v>
      </c>
      <c r="J60" s="365">
        <v>0.97619999999999996</v>
      </c>
      <c r="K60" s="365">
        <v>1</v>
      </c>
      <c r="L60" s="365">
        <v>0.99209999999999998</v>
      </c>
      <c r="M60" s="365">
        <v>0.8</v>
      </c>
      <c r="N60" s="365">
        <v>0.5</v>
      </c>
      <c r="O60" s="365">
        <v>1</v>
      </c>
      <c r="P60" s="365">
        <v>0.75</v>
      </c>
      <c r="Q60" s="366">
        <v>0.86780000000000002</v>
      </c>
      <c r="R60" s="367">
        <v>0</v>
      </c>
      <c r="S60" s="366">
        <v>0.86780000000000002</v>
      </c>
      <c r="T60" s="1"/>
      <c r="U60" s="1"/>
      <c r="V60" s="1"/>
      <c r="W60" s="1"/>
      <c r="X60" s="1"/>
      <c r="Y60" s="1"/>
      <c r="Z60" s="1"/>
      <c r="AA60" s="1"/>
      <c r="AB60" s="1"/>
    </row>
    <row r="61" spans="1:28" ht="18" x14ac:dyDescent="0.3">
      <c r="A61" s="1"/>
      <c r="B61" s="364">
        <v>1</v>
      </c>
      <c r="C61" s="68">
        <v>57</v>
      </c>
      <c r="D61" s="69">
        <v>80673604</v>
      </c>
      <c r="E61" s="69" t="s">
        <v>451</v>
      </c>
      <c r="F61" s="24" t="s">
        <v>691</v>
      </c>
      <c r="G61" s="365">
        <v>0.98</v>
      </c>
      <c r="H61" s="365">
        <v>1</v>
      </c>
      <c r="I61" s="365">
        <v>1</v>
      </c>
      <c r="J61" s="365">
        <v>0.91169999999999995</v>
      </c>
      <c r="K61" s="365">
        <v>0</v>
      </c>
      <c r="L61" s="365">
        <v>1</v>
      </c>
      <c r="M61" s="365">
        <v>0.8</v>
      </c>
      <c r="N61" s="365">
        <v>1</v>
      </c>
      <c r="O61" s="365">
        <v>0</v>
      </c>
      <c r="P61" s="365">
        <v>1</v>
      </c>
      <c r="Q61" s="366">
        <v>0.84919999999999995</v>
      </c>
      <c r="R61" s="367">
        <v>0</v>
      </c>
      <c r="S61" s="366">
        <v>0.84919999999999995</v>
      </c>
      <c r="T61" s="1"/>
      <c r="U61" s="1"/>
      <c r="V61" s="1"/>
      <c r="W61" s="1"/>
      <c r="X61" s="1"/>
      <c r="Y61" s="1"/>
      <c r="Z61" s="1"/>
      <c r="AA61" s="1"/>
      <c r="AB61" s="1"/>
    </row>
    <row r="62" spans="1:28" ht="18" x14ac:dyDescent="0.3">
      <c r="A62" s="1"/>
      <c r="B62" s="364">
        <v>2</v>
      </c>
      <c r="C62" s="68">
        <v>58</v>
      </c>
      <c r="D62" s="69">
        <v>80667644</v>
      </c>
      <c r="E62" s="69" t="s">
        <v>76</v>
      </c>
      <c r="F62" s="24" t="s">
        <v>667</v>
      </c>
      <c r="G62" s="365">
        <v>1</v>
      </c>
      <c r="H62" s="365">
        <v>1</v>
      </c>
      <c r="I62" s="365">
        <v>1</v>
      </c>
      <c r="J62" s="365">
        <v>1</v>
      </c>
      <c r="K62" s="365">
        <v>1</v>
      </c>
      <c r="L62" s="365">
        <v>1</v>
      </c>
      <c r="M62" s="365">
        <v>1</v>
      </c>
      <c r="N62" s="365">
        <v>1</v>
      </c>
      <c r="O62" s="365">
        <v>0</v>
      </c>
      <c r="P62" s="365">
        <v>1</v>
      </c>
      <c r="Q62" s="366">
        <v>0.98</v>
      </c>
      <c r="R62" s="367">
        <v>0</v>
      </c>
      <c r="S62" s="366">
        <v>0.98</v>
      </c>
      <c r="T62" s="1"/>
      <c r="U62" s="1"/>
      <c r="V62" s="1"/>
      <c r="W62" s="1"/>
      <c r="X62" s="1"/>
      <c r="Y62" s="1"/>
      <c r="Z62" s="1"/>
      <c r="AA62" s="1"/>
      <c r="AB62" s="1"/>
    </row>
    <row r="63" spans="1:28" ht="18" x14ac:dyDescent="0.3">
      <c r="A63" s="1"/>
      <c r="B63" s="364">
        <v>3</v>
      </c>
      <c r="C63" s="68">
        <v>59</v>
      </c>
      <c r="D63" s="69">
        <v>80673108</v>
      </c>
      <c r="E63" s="69" t="s">
        <v>77</v>
      </c>
      <c r="F63" s="24" t="s">
        <v>667</v>
      </c>
      <c r="G63" s="365">
        <v>1</v>
      </c>
      <c r="H63" s="365">
        <v>0.96</v>
      </c>
      <c r="I63" s="365">
        <v>1</v>
      </c>
      <c r="J63" s="365">
        <v>1</v>
      </c>
      <c r="K63" s="365">
        <v>1</v>
      </c>
      <c r="L63" s="365">
        <v>1</v>
      </c>
      <c r="M63" s="365">
        <v>1</v>
      </c>
      <c r="N63" s="365">
        <v>1</v>
      </c>
      <c r="O63" s="365">
        <v>0</v>
      </c>
      <c r="P63" s="365">
        <v>0.75</v>
      </c>
      <c r="Q63" s="366">
        <v>0.96550000000000002</v>
      </c>
      <c r="R63" s="367">
        <v>0</v>
      </c>
      <c r="S63" s="366">
        <v>0.96550000000000002</v>
      </c>
      <c r="T63" s="1"/>
      <c r="U63" s="1"/>
      <c r="V63" s="1"/>
      <c r="W63" s="1"/>
      <c r="X63" s="1"/>
      <c r="Y63" s="1"/>
      <c r="Z63" s="1"/>
      <c r="AA63" s="1"/>
      <c r="AB63" s="1"/>
    </row>
    <row r="64" spans="1:28" ht="18" x14ac:dyDescent="0.3">
      <c r="A64" s="1"/>
      <c r="B64" s="364">
        <v>4</v>
      </c>
      <c r="C64" s="68">
        <v>60</v>
      </c>
      <c r="D64" s="69">
        <v>80670976</v>
      </c>
      <c r="E64" s="69" t="s">
        <v>78</v>
      </c>
      <c r="F64" s="24" t="s">
        <v>667</v>
      </c>
      <c r="G64" s="365">
        <v>1</v>
      </c>
      <c r="H64" s="365">
        <v>1</v>
      </c>
      <c r="I64" s="365">
        <v>1</v>
      </c>
      <c r="J64" s="365">
        <v>1</v>
      </c>
      <c r="K64" s="365">
        <v>1</v>
      </c>
      <c r="L64" s="365">
        <v>1</v>
      </c>
      <c r="M64" s="365">
        <v>1</v>
      </c>
      <c r="N64" s="365">
        <v>0.5</v>
      </c>
      <c r="O64" s="365">
        <v>0</v>
      </c>
      <c r="P64" s="365">
        <v>1</v>
      </c>
      <c r="Q64" s="366">
        <v>0.94</v>
      </c>
      <c r="R64" s="367">
        <v>0</v>
      </c>
      <c r="S64" s="366">
        <v>0.94</v>
      </c>
      <c r="T64" s="1"/>
      <c r="U64" s="1"/>
      <c r="V64" s="1"/>
      <c r="W64" s="1"/>
      <c r="X64" s="1"/>
      <c r="Y64" s="1"/>
      <c r="Z64" s="1"/>
      <c r="AA64" s="1"/>
      <c r="AB64" s="1"/>
    </row>
    <row r="65" spans="1:28" ht="18" x14ac:dyDescent="0.3">
      <c r="A65" s="1"/>
      <c r="B65" s="364">
        <v>5</v>
      </c>
      <c r="C65" s="68">
        <v>61</v>
      </c>
      <c r="D65" s="69">
        <v>80661197</v>
      </c>
      <c r="E65" s="69" t="s">
        <v>79</v>
      </c>
      <c r="F65" s="24" t="s">
        <v>667</v>
      </c>
      <c r="G65" s="365">
        <v>1</v>
      </c>
      <c r="H65" s="365">
        <v>1</v>
      </c>
      <c r="I65" s="365">
        <v>1</v>
      </c>
      <c r="J65" s="365">
        <v>1</v>
      </c>
      <c r="K65" s="365">
        <v>1</v>
      </c>
      <c r="L65" s="365">
        <v>0.97970000000000002</v>
      </c>
      <c r="M65" s="365">
        <v>0.8</v>
      </c>
      <c r="N65" s="365">
        <v>0.5</v>
      </c>
      <c r="O65" s="365">
        <v>1</v>
      </c>
      <c r="P65" s="365">
        <v>1</v>
      </c>
      <c r="Q65" s="366">
        <v>0.88800000000000001</v>
      </c>
      <c r="R65" s="367">
        <v>0</v>
      </c>
      <c r="S65" s="366">
        <v>0.88800000000000001</v>
      </c>
      <c r="T65" s="1"/>
      <c r="U65" s="1"/>
      <c r="V65" s="1"/>
      <c r="W65" s="1"/>
      <c r="X65" s="1"/>
      <c r="Y65" s="1"/>
      <c r="Z65" s="1"/>
      <c r="AA65" s="1"/>
      <c r="AB65" s="1"/>
    </row>
    <row r="66" spans="1:28" ht="18" x14ac:dyDescent="0.3">
      <c r="A66" s="1"/>
      <c r="B66" s="364">
        <v>6</v>
      </c>
      <c r="C66" s="68">
        <v>62</v>
      </c>
      <c r="D66" s="69">
        <v>80673599</v>
      </c>
      <c r="E66" s="69" t="s">
        <v>80</v>
      </c>
      <c r="F66" s="24" t="s">
        <v>667</v>
      </c>
      <c r="G66" s="365">
        <v>1</v>
      </c>
      <c r="H66" s="365">
        <v>0.99</v>
      </c>
      <c r="I66" s="365">
        <v>1</v>
      </c>
      <c r="J66" s="365">
        <v>1</v>
      </c>
      <c r="K66" s="365">
        <v>1</v>
      </c>
      <c r="L66" s="365">
        <v>0.99260000000000004</v>
      </c>
      <c r="M66" s="365">
        <v>1</v>
      </c>
      <c r="N66" s="365">
        <v>1</v>
      </c>
      <c r="O66" s="365">
        <v>0</v>
      </c>
      <c r="P66" s="365">
        <v>1</v>
      </c>
      <c r="Q66" s="366">
        <v>0.9788</v>
      </c>
      <c r="R66" s="367">
        <v>0</v>
      </c>
      <c r="S66" s="366">
        <v>0.9788</v>
      </c>
      <c r="T66" s="1"/>
      <c r="U66" s="1"/>
      <c r="V66" s="1"/>
      <c r="W66" s="1"/>
      <c r="X66" s="1"/>
      <c r="Y66" s="1"/>
      <c r="Z66" s="1"/>
      <c r="AA66" s="1"/>
      <c r="AB66" s="1"/>
    </row>
    <row r="67" spans="1:28" ht="18" x14ac:dyDescent="0.3">
      <c r="A67" s="1"/>
      <c r="B67" s="364">
        <v>7</v>
      </c>
      <c r="C67" s="68">
        <v>63</v>
      </c>
      <c r="D67" s="69">
        <v>80671162</v>
      </c>
      <c r="E67" s="69" t="s">
        <v>81</v>
      </c>
      <c r="F67" s="24" t="s">
        <v>667</v>
      </c>
      <c r="G67" s="365">
        <v>1</v>
      </c>
      <c r="H67" s="365">
        <v>1</v>
      </c>
      <c r="I67" s="365">
        <v>1</v>
      </c>
      <c r="J67" s="365">
        <v>1</v>
      </c>
      <c r="K67" s="365">
        <v>1</v>
      </c>
      <c r="L67" s="365">
        <v>0.98460000000000003</v>
      </c>
      <c r="M67" s="365">
        <v>0.8</v>
      </c>
      <c r="N67" s="365">
        <v>1</v>
      </c>
      <c r="O67" s="365">
        <v>1</v>
      </c>
      <c r="P67" s="365">
        <v>1</v>
      </c>
      <c r="Q67" s="366">
        <v>0.92849999999999999</v>
      </c>
      <c r="R67" s="367">
        <v>0</v>
      </c>
      <c r="S67" s="366">
        <v>0.92849999999999999</v>
      </c>
      <c r="T67" s="1"/>
      <c r="U67" s="1"/>
      <c r="V67" s="1"/>
      <c r="W67" s="1"/>
      <c r="X67" s="1"/>
      <c r="Y67" s="1"/>
      <c r="Z67" s="1"/>
      <c r="AA67" s="1"/>
      <c r="AB67" s="1"/>
    </row>
    <row r="68" spans="1:28" ht="18" x14ac:dyDescent="0.3">
      <c r="A68" s="1"/>
      <c r="B68" s="364">
        <v>1</v>
      </c>
      <c r="C68" s="68">
        <v>64</v>
      </c>
      <c r="D68" s="69">
        <v>80661226</v>
      </c>
      <c r="E68" s="69" t="s">
        <v>271</v>
      </c>
      <c r="F68" s="24" t="s">
        <v>682</v>
      </c>
      <c r="G68" s="365">
        <v>1</v>
      </c>
      <c r="H68" s="365">
        <v>1</v>
      </c>
      <c r="I68" s="365">
        <v>1</v>
      </c>
      <c r="J68" s="365">
        <v>1</v>
      </c>
      <c r="K68" s="365">
        <v>1</v>
      </c>
      <c r="L68" s="365">
        <v>1</v>
      </c>
      <c r="M68" s="365">
        <v>1</v>
      </c>
      <c r="N68" s="365">
        <v>0.5</v>
      </c>
      <c r="O68" s="365">
        <v>1</v>
      </c>
      <c r="P68" s="365">
        <v>1</v>
      </c>
      <c r="Q68" s="366">
        <v>0.96</v>
      </c>
      <c r="R68" s="367">
        <v>0</v>
      </c>
      <c r="S68" s="366">
        <v>0.96</v>
      </c>
      <c r="T68" s="1"/>
      <c r="U68" s="1"/>
      <c r="V68" s="1"/>
      <c r="W68" s="1"/>
      <c r="X68" s="1"/>
      <c r="Y68" s="1"/>
      <c r="Z68" s="1"/>
      <c r="AA68" s="1"/>
      <c r="AB68" s="1"/>
    </row>
    <row r="69" spans="1:28" ht="18" x14ac:dyDescent="0.3">
      <c r="A69" s="1"/>
      <c r="B69" s="364">
        <v>2</v>
      </c>
      <c r="C69" s="68">
        <v>65</v>
      </c>
      <c r="D69" s="69">
        <v>80670980</v>
      </c>
      <c r="E69" s="69" t="s">
        <v>272</v>
      </c>
      <c r="F69" s="24" t="s">
        <v>682</v>
      </c>
      <c r="G69" s="365">
        <v>0.98</v>
      </c>
      <c r="H69" s="365">
        <v>1</v>
      </c>
      <c r="I69" s="365">
        <v>1</v>
      </c>
      <c r="J69" s="365">
        <v>0.93979999999999997</v>
      </c>
      <c r="K69" s="365">
        <v>1</v>
      </c>
      <c r="L69" s="365">
        <v>0.97219999999999995</v>
      </c>
      <c r="M69" s="365">
        <v>0.8</v>
      </c>
      <c r="N69" s="365">
        <v>1</v>
      </c>
      <c r="O69" s="365">
        <v>0</v>
      </c>
      <c r="P69" s="365">
        <v>1</v>
      </c>
      <c r="Q69" s="366">
        <v>0.8992</v>
      </c>
      <c r="R69" s="367">
        <v>0</v>
      </c>
      <c r="S69" s="366">
        <v>0.8992</v>
      </c>
      <c r="T69" s="1"/>
      <c r="U69" s="1"/>
      <c r="V69" s="1"/>
      <c r="W69" s="1"/>
      <c r="X69" s="1"/>
      <c r="Y69" s="1"/>
      <c r="Z69" s="1"/>
      <c r="AA69" s="1"/>
      <c r="AB69" s="1"/>
    </row>
    <row r="70" spans="1:28" ht="18" x14ac:dyDescent="0.3">
      <c r="A70" s="1"/>
      <c r="B70" s="364">
        <v>3</v>
      </c>
      <c r="C70" s="68">
        <v>66</v>
      </c>
      <c r="D70" s="69">
        <v>80670784</v>
      </c>
      <c r="E70" s="69" t="s">
        <v>273</v>
      </c>
      <c r="F70" s="24" t="s">
        <v>682</v>
      </c>
      <c r="G70" s="365">
        <v>0.98</v>
      </c>
      <c r="H70" s="365">
        <v>1</v>
      </c>
      <c r="I70" s="365">
        <v>1</v>
      </c>
      <c r="J70" s="365">
        <v>0.91090000000000004</v>
      </c>
      <c r="K70" s="365">
        <v>0</v>
      </c>
      <c r="L70" s="365">
        <v>1</v>
      </c>
      <c r="M70" s="365">
        <v>1</v>
      </c>
      <c r="N70" s="365">
        <v>0</v>
      </c>
      <c r="O70" s="365">
        <v>1</v>
      </c>
      <c r="P70" s="365">
        <v>1</v>
      </c>
      <c r="Q70" s="366">
        <v>0.85909999999999997</v>
      </c>
      <c r="R70" s="367">
        <v>0</v>
      </c>
      <c r="S70" s="366">
        <v>0.85909999999999997</v>
      </c>
      <c r="T70" s="1"/>
      <c r="U70" s="1"/>
      <c r="V70" s="1"/>
      <c r="W70" s="1"/>
      <c r="X70" s="1"/>
      <c r="Y70" s="1"/>
      <c r="Z70" s="1"/>
      <c r="AA70" s="1"/>
      <c r="AB70" s="1"/>
    </row>
    <row r="71" spans="1:28" ht="18" x14ac:dyDescent="0.3">
      <c r="A71" s="1"/>
      <c r="B71" s="364">
        <v>4</v>
      </c>
      <c r="C71" s="68">
        <v>67</v>
      </c>
      <c r="D71" s="69">
        <v>80670971</v>
      </c>
      <c r="E71" s="69" t="s">
        <v>274</v>
      </c>
      <c r="F71" s="24" t="s">
        <v>682</v>
      </c>
      <c r="G71" s="365">
        <v>0.98</v>
      </c>
      <c r="H71" s="365">
        <v>1</v>
      </c>
      <c r="I71" s="365">
        <v>1</v>
      </c>
      <c r="J71" s="365">
        <v>1</v>
      </c>
      <c r="K71" s="365">
        <v>1</v>
      </c>
      <c r="L71" s="365">
        <v>0.97270000000000001</v>
      </c>
      <c r="M71" s="365">
        <v>1</v>
      </c>
      <c r="N71" s="365">
        <v>1</v>
      </c>
      <c r="O71" s="365">
        <v>0</v>
      </c>
      <c r="P71" s="365">
        <v>0.75</v>
      </c>
      <c r="Q71" s="366">
        <v>0.96279999999999999</v>
      </c>
      <c r="R71" s="367">
        <v>0</v>
      </c>
      <c r="S71" s="366">
        <v>0.96279999999999999</v>
      </c>
      <c r="T71" s="1"/>
      <c r="U71" s="1"/>
      <c r="V71" s="1"/>
      <c r="W71" s="1"/>
      <c r="X71" s="1"/>
      <c r="Y71" s="1"/>
      <c r="Z71" s="1"/>
      <c r="AA71" s="1"/>
      <c r="AB71" s="1"/>
    </row>
    <row r="72" spans="1:28" ht="18" x14ac:dyDescent="0.3">
      <c r="A72" s="1"/>
      <c r="B72" s="364">
        <v>5</v>
      </c>
      <c r="C72" s="68">
        <v>68</v>
      </c>
      <c r="D72" s="69">
        <v>80673632</v>
      </c>
      <c r="E72" s="69" t="s">
        <v>275</v>
      </c>
      <c r="F72" s="24" t="s">
        <v>682</v>
      </c>
      <c r="G72" s="365">
        <v>1</v>
      </c>
      <c r="H72" s="365">
        <v>1</v>
      </c>
      <c r="I72" s="365">
        <v>1</v>
      </c>
      <c r="J72" s="365">
        <v>1</v>
      </c>
      <c r="K72" s="365">
        <v>1</v>
      </c>
      <c r="L72" s="365">
        <v>1</v>
      </c>
      <c r="M72" s="365">
        <v>0.8</v>
      </c>
      <c r="N72" s="365">
        <v>1</v>
      </c>
      <c r="O72" s="365">
        <v>1</v>
      </c>
      <c r="P72" s="365">
        <v>0.75</v>
      </c>
      <c r="Q72" s="366">
        <v>0.91749999999999998</v>
      </c>
      <c r="R72" s="367">
        <v>0</v>
      </c>
      <c r="S72" s="366">
        <v>0.91749999999999998</v>
      </c>
      <c r="T72" s="1"/>
      <c r="U72" s="1"/>
      <c r="V72" s="1"/>
      <c r="W72" s="1"/>
      <c r="X72" s="1"/>
      <c r="Y72" s="1"/>
      <c r="Z72" s="1"/>
      <c r="AA72" s="1"/>
      <c r="AB72" s="1"/>
    </row>
    <row r="73" spans="1:28" ht="18" x14ac:dyDescent="0.3">
      <c r="A73" s="1"/>
      <c r="B73" s="364">
        <v>6</v>
      </c>
      <c r="C73" s="68">
        <v>69</v>
      </c>
      <c r="D73" s="69">
        <v>80661144</v>
      </c>
      <c r="E73" s="69" t="s">
        <v>276</v>
      </c>
      <c r="F73" s="24" t="s">
        <v>682</v>
      </c>
      <c r="G73" s="365">
        <v>0.98</v>
      </c>
      <c r="H73" s="365">
        <v>0.98</v>
      </c>
      <c r="I73" s="365">
        <v>0.96499999999999997</v>
      </c>
      <c r="J73" s="365">
        <v>1</v>
      </c>
      <c r="K73" s="365">
        <v>1</v>
      </c>
      <c r="L73" s="365">
        <v>1</v>
      </c>
      <c r="M73" s="365">
        <v>1</v>
      </c>
      <c r="N73" s="365">
        <v>1</v>
      </c>
      <c r="O73" s="365">
        <v>0</v>
      </c>
      <c r="P73" s="365">
        <v>1</v>
      </c>
      <c r="Q73" s="366">
        <v>0.97350000000000003</v>
      </c>
      <c r="R73" s="367">
        <v>0</v>
      </c>
      <c r="S73" s="366">
        <v>0.97350000000000003</v>
      </c>
      <c r="T73" s="1"/>
      <c r="U73" s="1"/>
      <c r="V73" s="1"/>
      <c r="W73" s="1"/>
      <c r="X73" s="1"/>
      <c r="Y73" s="1"/>
      <c r="Z73" s="1"/>
      <c r="AA73" s="1"/>
      <c r="AB73" s="1"/>
    </row>
    <row r="74" spans="1:28" ht="18" x14ac:dyDescent="0.3">
      <c r="A74" s="1"/>
      <c r="B74" s="364">
        <v>7</v>
      </c>
      <c r="C74" s="68">
        <v>70</v>
      </c>
      <c r="D74" s="69">
        <v>80670772</v>
      </c>
      <c r="E74" s="69" t="s">
        <v>479</v>
      </c>
      <c r="F74" s="24" t="s">
        <v>684</v>
      </c>
      <c r="G74" s="365">
        <v>0.98</v>
      </c>
      <c r="H74" s="365">
        <v>1</v>
      </c>
      <c r="I74" s="365">
        <v>1</v>
      </c>
      <c r="J74" s="365">
        <v>1</v>
      </c>
      <c r="K74" s="365">
        <v>1</v>
      </c>
      <c r="L74" s="365">
        <v>0.98</v>
      </c>
      <c r="M74" s="365">
        <v>1</v>
      </c>
      <c r="N74" s="365">
        <v>1</v>
      </c>
      <c r="O74" s="365">
        <v>1</v>
      </c>
      <c r="P74" s="365">
        <v>0.5</v>
      </c>
      <c r="Q74" s="366">
        <v>0.97099999999999997</v>
      </c>
      <c r="R74" s="367">
        <v>0</v>
      </c>
      <c r="S74" s="366">
        <v>0.97099999999999997</v>
      </c>
      <c r="T74" s="1"/>
      <c r="U74" s="1"/>
      <c r="V74" s="1"/>
      <c r="W74" s="1"/>
      <c r="X74" s="1"/>
      <c r="Y74" s="1"/>
      <c r="Z74" s="1"/>
      <c r="AA74" s="1"/>
      <c r="AB74" s="1"/>
    </row>
    <row r="75" spans="1:28" ht="18" x14ac:dyDescent="0.3">
      <c r="A75" s="1"/>
      <c r="B75" s="364">
        <v>1</v>
      </c>
      <c r="C75" s="68">
        <v>71</v>
      </c>
      <c r="D75" s="69">
        <v>80661234</v>
      </c>
      <c r="E75" s="69" t="s">
        <v>480</v>
      </c>
      <c r="F75" s="24" t="s">
        <v>684</v>
      </c>
      <c r="G75" s="365">
        <v>1</v>
      </c>
      <c r="H75" s="365">
        <v>1</v>
      </c>
      <c r="I75" s="365">
        <v>1</v>
      </c>
      <c r="J75" s="365">
        <v>0.9899</v>
      </c>
      <c r="K75" s="365">
        <v>1</v>
      </c>
      <c r="L75" s="365">
        <v>0.99629999999999996</v>
      </c>
      <c r="M75" s="365">
        <v>0.8</v>
      </c>
      <c r="N75" s="365">
        <v>0</v>
      </c>
      <c r="O75" s="365">
        <v>0</v>
      </c>
      <c r="P75" s="365">
        <v>0.5</v>
      </c>
      <c r="Q75" s="366">
        <v>0.80359999999999998</v>
      </c>
      <c r="R75" s="367">
        <v>0</v>
      </c>
      <c r="S75" s="366">
        <v>0.80359999999999998</v>
      </c>
      <c r="T75" s="1"/>
      <c r="U75" s="1"/>
      <c r="V75" s="1"/>
      <c r="W75" s="1"/>
      <c r="X75" s="1"/>
      <c r="Y75" s="1"/>
      <c r="Z75" s="1"/>
      <c r="AA75" s="1"/>
      <c r="AB75" s="1"/>
    </row>
    <row r="76" spans="1:28" ht="18" x14ac:dyDescent="0.3">
      <c r="A76" s="1"/>
      <c r="B76" s="364">
        <v>2</v>
      </c>
      <c r="C76" s="68">
        <v>72</v>
      </c>
      <c r="D76" s="69">
        <v>80657625</v>
      </c>
      <c r="E76" s="69" t="s">
        <v>481</v>
      </c>
      <c r="F76" s="24" t="s">
        <v>684</v>
      </c>
      <c r="G76" s="365">
        <v>1</v>
      </c>
      <c r="H76" s="365">
        <v>1</v>
      </c>
      <c r="I76" s="365">
        <v>1</v>
      </c>
      <c r="J76" s="365">
        <v>0.96779999999999999</v>
      </c>
      <c r="K76" s="365">
        <v>1</v>
      </c>
      <c r="L76" s="365">
        <v>0.99909999999999999</v>
      </c>
      <c r="M76" s="365">
        <v>0.8</v>
      </c>
      <c r="N76" s="365">
        <v>1</v>
      </c>
      <c r="O76" s="365">
        <v>0</v>
      </c>
      <c r="P76" s="365">
        <v>0.5</v>
      </c>
      <c r="Q76" s="366">
        <v>0.88170000000000004</v>
      </c>
      <c r="R76" s="367">
        <v>0</v>
      </c>
      <c r="S76" s="366">
        <v>0.88170000000000004</v>
      </c>
      <c r="T76" s="1"/>
      <c r="U76" s="1"/>
      <c r="V76" s="1"/>
      <c r="W76" s="1"/>
      <c r="X76" s="1"/>
      <c r="Y76" s="1"/>
      <c r="Z76" s="1"/>
      <c r="AA76" s="1"/>
      <c r="AB76" s="1"/>
    </row>
    <row r="77" spans="1:28" ht="18" x14ac:dyDescent="0.3">
      <c r="A77" s="1"/>
      <c r="B77" s="364">
        <v>3</v>
      </c>
      <c r="C77" s="68">
        <v>73</v>
      </c>
      <c r="D77" s="69">
        <v>80662062</v>
      </c>
      <c r="E77" s="69" t="s">
        <v>482</v>
      </c>
      <c r="F77" s="24" t="s">
        <v>684</v>
      </c>
      <c r="G77" s="365">
        <v>1</v>
      </c>
      <c r="H77" s="365">
        <v>1</v>
      </c>
      <c r="I77" s="365">
        <v>1</v>
      </c>
      <c r="J77" s="365">
        <v>1</v>
      </c>
      <c r="K77" s="365">
        <v>1</v>
      </c>
      <c r="L77" s="365">
        <v>0.99660000000000004</v>
      </c>
      <c r="M77" s="365">
        <v>1</v>
      </c>
      <c r="N77" s="365">
        <v>0.5</v>
      </c>
      <c r="O77" s="365">
        <v>0</v>
      </c>
      <c r="P77" s="365">
        <v>1</v>
      </c>
      <c r="Q77" s="366">
        <v>0.93969999999999998</v>
      </c>
      <c r="R77" s="367">
        <v>0</v>
      </c>
      <c r="S77" s="366">
        <v>0.93969999999999998</v>
      </c>
      <c r="T77" s="1"/>
      <c r="U77" s="1"/>
      <c r="V77" s="1"/>
      <c r="W77" s="1"/>
      <c r="X77" s="1"/>
      <c r="Y77" s="1"/>
      <c r="Z77" s="1"/>
      <c r="AA77" s="1"/>
      <c r="AB77" s="1"/>
    </row>
    <row r="78" spans="1:28" ht="18" x14ac:dyDescent="0.3">
      <c r="A78" s="1"/>
      <c r="B78" s="364">
        <v>4</v>
      </c>
      <c r="C78" s="68">
        <v>74</v>
      </c>
      <c r="D78" s="69">
        <v>80661148</v>
      </c>
      <c r="E78" s="69" t="s">
        <v>483</v>
      </c>
      <c r="F78" s="24" t="s">
        <v>684</v>
      </c>
      <c r="G78" s="365">
        <v>1</v>
      </c>
      <c r="H78" s="365">
        <v>1</v>
      </c>
      <c r="I78" s="365">
        <v>1</v>
      </c>
      <c r="J78" s="365">
        <v>0.93059999999999998</v>
      </c>
      <c r="K78" s="365">
        <v>0</v>
      </c>
      <c r="L78" s="365">
        <v>0.98319999999999996</v>
      </c>
      <c r="M78" s="365">
        <v>1</v>
      </c>
      <c r="N78" s="365">
        <v>0.5</v>
      </c>
      <c r="O78" s="365">
        <v>0</v>
      </c>
      <c r="P78" s="365">
        <v>1</v>
      </c>
      <c r="Q78" s="366">
        <v>0.88139999999999996</v>
      </c>
      <c r="R78" s="367">
        <v>0</v>
      </c>
      <c r="S78" s="366">
        <v>0.88139999999999996</v>
      </c>
      <c r="T78" s="1"/>
      <c r="U78" s="1"/>
      <c r="V78" s="1"/>
      <c r="W78" s="1"/>
      <c r="X78" s="1"/>
      <c r="Y78" s="1"/>
      <c r="Z78" s="1"/>
      <c r="AA78" s="1"/>
      <c r="AB78" s="1"/>
    </row>
    <row r="79" spans="1:28" ht="18" x14ac:dyDescent="0.3">
      <c r="A79" s="1"/>
      <c r="B79" s="364">
        <v>5</v>
      </c>
      <c r="C79" s="68">
        <v>75</v>
      </c>
      <c r="D79" s="69">
        <v>80672652</v>
      </c>
      <c r="E79" s="69" t="s">
        <v>484</v>
      </c>
      <c r="F79" s="24" t="s">
        <v>684</v>
      </c>
      <c r="G79" s="365">
        <v>1</v>
      </c>
      <c r="H79" s="365">
        <v>1</v>
      </c>
      <c r="I79" s="365">
        <v>1</v>
      </c>
      <c r="J79" s="365">
        <v>0.89939999999999998</v>
      </c>
      <c r="K79" s="365">
        <v>0</v>
      </c>
      <c r="L79" s="365">
        <v>0.99790000000000001</v>
      </c>
      <c r="M79" s="365">
        <v>1</v>
      </c>
      <c r="N79" s="365">
        <v>0.5</v>
      </c>
      <c r="O79" s="365">
        <v>0</v>
      </c>
      <c r="P79" s="365">
        <v>1</v>
      </c>
      <c r="Q79" s="366">
        <v>0.87970000000000004</v>
      </c>
      <c r="R79" s="367">
        <v>0</v>
      </c>
      <c r="S79" s="366">
        <v>0.87970000000000004</v>
      </c>
      <c r="T79" s="1"/>
      <c r="U79" s="1"/>
      <c r="V79" s="1"/>
      <c r="W79" s="1"/>
      <c r="X79" s="1"/>
      <c r="Y79" s="1"/>
      <c r="Z79" s="1"/>
      <c r="AA79" s="1"/>
      <c r="AB79" s="1"/>
    </row>
    <row r="80" spans="1:28" ht="18" x14ac:dyDescent="0.3">
      <c r="A80" s="1"/>
      <c r="B80" s="364">
        <v>6</v>
      </c>
      <c r="C80" s="68">
        <v>76</v>
      </c>
      <c r="D80" s="69">
        <v>80673618</v>
      </c>
      <c r="E80" s="69" t="s">
        <v>326</v>
      </c>
      <c r="F80" s="24" t="s">
        <v>629</v>
      </c>
      <c r="G80" s="365">
        <v>1</v>
      </c>
      <c r="H80" s="365">
        <v>1</v>
      </c>
      <c r="I80" s="365">
        <v>1</v>
      </c>
      <c r="J80" s="365">
        <v>1</v>
      </c>
      <c r="K80" s="365">
        <v>1</v>
      </c>
      <c r="L80" s="365">
        <v>1</v>
      </c>
      <c r="M80" s="365">
        <v>1</v>
      </c>
      <c r="N80" s="365">
        <v>1</v>
      </c>
      <c r="O80" s="365">
        <v>0</v>
      </c>
      <c r="P80" s="365">
        <v>0.5</v>
      </c>
      <c r="Q80" s="366">
        <v>0.95499999999999996</v>
      </c>
      <c r="R80" s="367">
        <v>0</v>
      </c>
      <c r="S80" s="366">
        <v>0.95499999999999996</v>
      </c>
      <c r="T80" s="1"/>
      <c r="U80" s="1"/>
      <c r="V80" s="1"/>
      <c r="W80" s="1"/>
      <c r="X80" s="1"/>
      <c r="Y80" s="1"/>
      <c r="Z80" s="1"/>
      <c r="AA80" s="1"/>
      <c r="AB80" s="1"/>
    </row>
    <row r="81" spans="1:28" ht="18" x14ac:dyDescent="0.3">
      <c r="A81" s="1"/>
      <c r="B81" s="364">
        <v>7</v>
      </c>
      <c r="C81" s="68">
        <v>77</v>
      </c>
      <c r="D81" s="69">
        <v>80672653</v>
      </c>
      <c r="E81" s="69" t="s">
        <v>327</v>
      </c>
      <c r="F81" s="24" t="s">
        <v>629</v>
      </c>
      <c r="G81" s="365">
        <v>1</v>
      </c>
      <c r="H81" s="365">
        <v>1</v>
      </c>
      <c r="I81" s="365">
        <v>1</v>
      </c>
      <c r="J81" s="365">
        <v>1</v>
      </c>
      <c r="K81" s="365">
        <v>1</v>
      </c>
      <c r="L81" s="365">
        <v>1</v>
      </c>
      <c r="M81" s="365">
        <v>1</v>
      </c>
      <c r="N81" s="365">
        <v>1</v>
      </c>
      <c r="O81" s="365">
        <v>1</v>
      </c>
      <c r="P81" s="365">
        <v>1</v>
      </c>
      <c r="Q81" s="366">
        <v>1</v>
      </c>
      <c r="R81" s="367">
        <v>0</v>
      </c>
      <c r="S81" s="366">
        <v>1</v>
      </c>
      <c r="T81" s="1"/>
      <c r="U81" s="1"/>
      <c r="V81" s="1"/>
      <c r="W81" s="1"/>
      <c r="X81" s="1"/>
      <c r="Y81" s="1"/>
      <c r="Z81" s="1"/>
      <c r="AA81" s="1"/>
      <c r="AB81" s="1"/>
    </row>
    <row r="82" spans="1:28" ht="18" x14ac:dyDescent="0.3">
      <c r="A82" s="1"/>
      <c r="B82" s="364">
        <v>8</v>
      </c>
      <c r="C82" s="68">
        <v>78</v>
      </c>
      <c r="D82" s="69">
        <v>80668966</v>
      </c>
      <c r="E82" s="69" t="s">
        <v>328</v>
      </c>
      <c r="F82" s="24" t="s">
        <v>629</v>
      </c>
      <c r="G82" s="365">
        <v>1</v>
      </c>
      <c r="H82" s="365">
        <v>1</v>
      </c>
      <c r="I82" s="365">
        <v>1</v>
      </c>
      <c r="J82" s="365">
        <v>1</v>
      </c>
      <c r="K82" s="365">
        <v>1</v>
      </c>
      <c r="L82" s="365">
        <v>0.98919999999999997</v>
      </c>
      <c r="M82" s="365">
        <v>1</v>
      </c>
      <c r="N82" s="365">
        <v>1</v>
      </c>
      <c r="O82" s="365">
        <v>0</v>
      </c>
      <c r="P82" s="365">
        <v>0.5</v>
      </c>
      <c r="Q82" s="366">
        <v>0.95389999999999997</v>
      </c>
      <c r="R82" s="367">
        <v>0</v>
      </c>
      <c r="S82" s="366">
        <v>0.95389999999999997</v>
      </c>
      <c r="T82" s="1"/>
      <c r="U82" s="1"/>
      <c r="V82" s="1"/>
      <c r="W82" s="1"/>
      <c r="X82" s="1"/>
      <c r="Y82" s="1"/>
      <c r="Z82" s="1"/>
      <c r="AA82" s="1"/>
      <c r="AB82" s="1"/>
    </row>
    <row r="83" spans="1:28" ht="18" x14ac:dyDescent="0.3">
      <c r="A83" s="1"/>
      <c r="B83" s="364">
        <v>1</v>
      </c>
      <c r="C83" s="68">
        <v>79</v>
      </c>
      <c r="D83" s="69">
        <v>80669293</v>
      </c>
      <c r="E83" s="69" t="s">
        <v>329</v>
      </c>
      <c r="F83" s="24" t="s">
        <v>629</v>
      </c>
      <c r="G83" s="365">
        <v>1</v>
      </c>
      <c r="H83" s="365">
        <v>0.99</v>
      </c>
      <c r="I83" s="365">
        <v>1</v>
      </c>
      <c r="J83" s="365">
        <v>1</v>
      </c>
      <c r="K83" s="365">
        <v>1</v>
      </c>
      <c r="L83" s="365">
        <v>1</v>
      </c>
      <c r="M83" s="365">
        <v>0.8</v>
      </c>
      <c r="N83" s="365">
        <v>0.5</v>
      </c>
      <c r="O83" s="365">
        <v>1</v>
      </c>
      <c r="P83" s="365">
        <v>1</v>
      </c>
      <c r="Q83" s="366">
        <v>0.88949999999999996</v>
      </c>
      <c r="R83" s="367">
        <v>0</v>
      </c>
      <c r="S83" s="366">
        <v>0.88949999999999996</v>
      </c>
      <c r="T83" s="1"/>
      <c r="U83" s="1"/>
      <c r="V83" s="1"/>
      <c r="W83" s="1"/>
      <c r="X83" s="1"/>
      <c r="Y83" s="1"/>
      <c r="Z83" s="1"/>
      <c r="AA83" s="1"/>
      <c r="AB83" s="1"/>
    </row>
    <row r="84" spans="1:28" ht="18" x14ac:dyDescent="0.3">
      <c r="A84" s="1"/>
      <c r="B84" s="364">
        <v>2</v>
      </c>
      <c r="C84" s="68">
        <v>80</v>
      </c>
      <c r="D84" s="69">
        <v>80674450</v>
      </c>
      <c r="E84" s="69" t="s">
        <v>330</v>
      </c>
      <c r="F84" s="24" t="s">
        <v>629</v>
      </c>
      <c r="G84" s="365">
        <v>1</v>
      </c>
      <c r="H84" s="365">
        <v>1</v>
      </c>
      <c r="I84" s="365">
        <v>1</v>
      </c>
      <c r="J84" s="365">
        <v>0.87860000000000005</v>
      </c>
      <c r="K84" s="365">
        <v>0</v>
      </c>
      <c r="L84" s="365">
        <v>0.99790000000000001</v>
      </c>
      <c r="M84" s="365">
        <v>1</v>
      </c>
      <c r="N84" s="365">
        <v>0.5</v>
      </c>
      <c r="O84" s="365">
        <v>0</v>
      </c>
      <c r="P84" s="365">
        <v>0.5</v>
      </c>
      <c r="Q84" s="366">
        <v>0.85270000000000001</v>
      </c>
      <c r="R84" s="367">
        <v>0</v>
      </c>
      <c r="S84" s="366">
        <v>0.85270000000000001</v>
      </c>
      <c r="T84" s="1"/>
      <c r="U84" s="1"/>
      <c r="V84" s="1"/>
      <c r="W84" s="1"/>
      <c r="X84" s="1"/>
      <c r="Y84" s="1"/>
      <c r="Z84" s="1"/>
      <c r="AA84" s="1"/>
      <c r="AB84" s="1"/>
    </row>
    <row r="85" spans="1:28" ht="18" x14ac:dyDescent="0.3">
      <c r="A85" s="1"/>
      <c r="B85" s="364">
        <v>3</v>
      </c>
      <c r="C85" s="68">
        <v>81</v>
      </c>
      <c r="D85" s="69">
        <v>80672175</v>
      </c>
      <c r="E85" s="69" t="s">
        <v>69</v>
      </c>
      <c r="F85" s="24" t="s">
        <v>656</v>
      </c>
      <c r="G85" s="365">
        <v>1</v>
      </c>
      <c r="H85" s="365">
        <v>1</v>
      </c>
      <c r="I85" s="365">
        <v>1</v>
      </c>
      <c r="J85" s="365">
        <v>1</v>
      </c>
      <c r="K85" s="365">
        <v>1</v>
      </c>
      <c r="L85" s="365">
        <v>1</v>
      </c>
      <c r="M85" s="365">
        <v>1</v>
      </c>
      <c r="N85" s="365">
        <v>1</v>
      </c>
      <c r="O85" s="365">
        <v>0</v>
      </c>
      <c r="P85" s="365">
        <v>1</v>
      </c>
      <c r="Q85" s="366">
        <v>0.98</v>
      </c>
      <c r="R85" s="367">
        <v>0</v>
      </c>
      <c r="S85" s="366">
        <v>0.98</v>
      </c>
      <c r="T85" s="1"/>
      <c r="U85" s="1"/>
      <c r="V85" s="1"/>
      <c r="W85" s="1"/>
      <c r="X85" s="1"/>
      <c r="Y85" s="1"/>
      <c r="Z85" s="1"/>
      <c r="AA85" s="1"/>
      <c r="AB85" s="1"/>
    </row>
    <row r="86" spans="1:28" ht="18" x14ac:dyDescent="0.3">
      <c r="A86" s="1"/>
      <c r="B86" s="364">
        <v>4</v>
      </c>
      <c r="C86" s="68">
        <v>82</v>
      </c>
      <c r="D86" s="69">
        <v>80668929</v>
      </c>
      <c r="E86" s="69" t="s">
        <v>70</v>
      </c>
      <c r="F86" s="24" t="s">
        <v>656</v>
      </c>
      <c r="G86" s="365">
        <v>1</v>
      </c>
      <c r="H86" s="365">
        <v>1</v>
      </c>
      <c r="I86" s="365">
        <v>1</v>
      </c>
      <c r="J86" s="365">
        <v>1</v>
      </c>
      <c r="K86" s="365">
        <v>1</v>
      </c>
      <c r="L86" s="365">
        <v>0.99329999999999996</v>
      </c>
      <c r="M86" s="365">
        <v>0.8</v>
      </c>
      <c r="N86" s="365">
        <v>1</v>
      </c>
      <c r="O86" s="365">
        <v>0</v>
      </c>
      <c r="P86" s="365">
        <v>1</v>
      </c>
      <c r="Q86" s="366">
        <v>0.9093</v>
      </c>
      <c r="R86" s="367">
        <v>0</v>
      </c>
      <c r="S86" s="366">
        <v>0.9093</v>
      </c>
      <c r="T86" s="1"/>
      <c r="U86" s="1"/>
      <c r="V86" s="1"/>
      <c r="W86" s="1"/>
      <c r="X86" s="1"/>
      <c r="Y86" s="1"/>
      <c r="Z86" s="1"/>
      <c r="AA86" s="1"/>
      <c r="AB86" s="1"/>
    </row>
    <row r="87" spans="1:28" ht="18" x14ac:dyDescent="0.3">
      <c r="A87" s="1"/>
      <c r="B87" s="364">
        <v>5</v>
      </c>
      <c r="C87" s="68">
        <v>83</v>
      </c>
      <c r="D87" s="69">
        <v>80673573</v>
      </c>
      <c r="E87" s="69" t="s">
        <v>71</v>
      </c>
      <c r="F87" s="24" t="s">
        <v>656</v>
      </c>
      <c r="G87" s="365">
        <v>1</v>
      </c>
      <c r="H87" s="365">
        <v>1</v>
      </c>
      <c r="I87" s="365">
        <v>1</v>
      </c>
      <c r="J87" s="365">
        <v>1</v>
      </c>
      <c r="K87" s="365">
        <v>1</v>
      </c>
      <c r="L87" s="365">
        <v>1</v>
      </c>
      <c r="M87" s="365">
        <v>1</v>
      </c>
      <c r="N87" s="365">
        <v>1</v>
      </c>
      <c r="O87" s="365">
        <v>0</v>
      </c>
      <c r="P87" s="365">
        <v>1</v>
      </c>
      <c r="Q87" s="366">
        <v>0.98</v>
      </c>
      <c r="R87" s="367">
        <v>0</v>
      </c>
      <c r="S87" s="366">
        <v>0.98</v>
      </c>
      <c r="T87" s="1"/>
      <c r="U87" s="1"/>
      <c r="V87" s="1"/>
      <c r="W87" s="1"/>
      <c r="X87" s="1"/>
      <c r="Y87" s="1"/>
      <c r="Z87" s="1"/>
      <c r="AA87" s="1"/>
      <c r="AB87" s="1"/>
    </row>
    <row r="88" spans="1:28" ht="18" x14ac:dyDescent="0.3">
      <c r="A88" s="1"/>
      <c r="B88" s="364">
        <v>6</v>
      </c>
      <c r="C88" s="68">
        <v>84</v>
      </c>
      <c r="D88" s="69">
        <v>80668952</v>
      </c>
      <c r="E88" s="69" t="s">
        <v>72</v>
      </c>
      <c r="F88" s="24" t="s">
        <v>656</v>
      </c>
      <c r="G88" s="365">
        <v>1</v>
      </c>
      <c r="H88" s="365">
        <v>1</v>
      </c>
      <c r="I88" s="365">
        <v>1</v>
      </c>
      <c r="J88" s="365">
        <v>1</v>
      </c>
      <c r="K88" s="365">
        <v>1</v>
      </c>
      <c r="L88" s="365">
        <v>0.99870000000000003</v>
      </c>
      <c r="M88" s="365">
        <v>1</v>
      </c>
      <c r="N88" s="365">
        <v>1</v>
      </c>
      <c r="O88" s="365">
        <v>0</v>
      </c>
      <c r="P88" s="365">
        <v>1</v>
      </c>
      <c r="Q88" s="366">
        <v>0.97989999999999999</v>
      </c>
      <c r="R88" s="367">
        <v>0</v>
      </c>
      <c r="S88" s="366">
        <v>0.97989999999999999</v>
      </c>
      <c r="T88" s="1"/>
      <c r="U88" s="1"/>
      <c r="V88" s="1"/>
      <c r="W88" s="1"/>
      <c r="X88" s="1"/>
      <c r="Y88" s="1"/>
      <c r="Z88" s="1"/>
      <c r="AA88" s="1"/>
      <c r="AB88" s="1"/>
    </row>
    <row r="89" spans="1:28" ht="18" x14ac:dyDescent="0.3">
      <c r="A89" s="1"/>
      <c r="B89" s="364">
        <v>7</v>
      </c>
      <c r="C89" s="68">
        <v>85</v>
      </c>
      <c r="D89" s="69">
        <v>80673634</v>
      </c>
      <c r="E89" s="69" t="s">
        <v>73</v>
      </c>
      <c r="F89" s="24" t="s">
        <v>656</v>
      </c>
      <c r="G89" s="365">
        <v>1</v>
      </c>
      <c r="H89" s="365">
        <v>1</v>
      </c>
      <c r="I89" s="365">
        <v>1</v>
      </c>
      <c r="J89" s="365">
        <v>1</v>
      </c>
      <c r="K89" s="365">
        <v>1</v>
      </c>
      <c r="L89" s="365">
        <v>0.91749999999999998</v>
      </c>
      <c r="M89" s="365">
        <v>1</v>
      </c>
      <c r="N89" s="365">
        <v>1</v>
      </c>
      <c r="O89" s="365">
        <v>0</v>
      </c>
      <c r="P89" s="365">
        <v>1</v>
      </c>
      <c r="Q89" s="366">
        <v>0.9718</v>
      </c>
      <c r="R89" s="367">
        <v>0</v>
      </c>
      <c r="S89" s="366">
        <v>0.9718</v>
      </c>
      <c r="T89" s="1"/>
      <c r="U89" s="1"/>
      <c r="V89" s="1"/>
      <c r="W89" s="1"/>
      <c r="X89" s="1"/>
      <c r="Y89" s="1"/>
      <c r="Z89" s="1"/>
      <c r="AA89" s="1"/>
      <c r="AB89" s="1"/>
    </row>
    <row r="90" spans="1:28" ht="18" x14ac:dyDescent="0.3">
      <c r="A90" s="1"/>
      <c r="B90" s="364">
        <v>1</v>
      </c>
      <c r="C90" s="68">
        <v>86</v>
      </c>
      <c r="D90" s="69">
        <v>80663631</v>
      </c>
      <c r="E90" s="69" t="s">
        <v>74</v>
      </c>
      <c r="F90" s="24" t="s">
        <v>656</v>
      </c>
      <c r="G90" s="365">
        <v>1</v>
      </c>
      <c r="H90" s="365">
        <v>1</v>
      </c>
      <c r="I90" s="365">
        <v>1</v>
      </c>
      <c r="J90" s="365">
        <v>0.98529999999999995</v>
      </c>
      <c r="K90" s="365">
        <v>1</v>
      </c>
      <c r="L90" s="365">
        <v>1</v>
      </c>
      <c r="M90" s="365">
        <v>1</v>
      </c>
      <c r="N90" s="365">
        <v>1</v>
      </c>
      <c r="O90" s="365">
        <v>0</v>
      </c>
      <c r="P90" s="365">
        <v>1</v>
      </c>
      <c r="Q90" s="366">
        <v>0.97850000000000004</v>
      </c>
      <c r="R90" s="367">
        <v>0</v>
      </c>
      <c r="S90" s="366">
        <v>0.97850000000000004</v>
      </c>
      <c r="T90" s="1"/>
      <c r="U90" s="1"/>
      <c r="V90" s="1"/>
      <c r="W90" s="1"/>
      <c r="X90" s="1"/>
      <c r="Y90" s="1"/>
      <c r="Z90" s="1"/>
      <c r="AA90" s="1"/>
      <c r="AB90" s="1"/>
    </row>
    <row r="91" spans="1:28" ht="18" x14ac:dyDescent="0.3">
      <c r="A91" s="1"/>
      <c r="B91" s="364">
        <v>2</v>
      </c>
      <c r="C91" s="68">
        <v>87</v>
      </c>
      <c r="D91" s="69">
        <v>80662430</v>
      </c>
      <c r="E91" s="69" t="s">
        <v>84</v>
      </c>
      <c r="F91" s="24" t="s">
        <v>670</v>
      </c>
      <c r="G91" s="365">
        <v>1</v>
      </c>
      <c r="H91" s="365">
        <v>1</v>
      </c>
      <c r="I91" s="365">
        <v>1</v>
      </c>
      <c r="J91" s="365">
        <v>1</v>
      </c>
      <c r="K91" s="365">
        <v>1</v>
      </c>
      <c r="L91" s="365">
        <v>0.99460000000000004</v>
      </c>
      <c r="M91" s="365">
        <v>0.8</v>
      </c>
      <c r="N91" s="365">
        <v>1</v>
      </c>
      <c r="O91" s="365">
        <v>0</v>
      </c>
      <c r="P91" s="365">
        <v>1</v>
      </c>
      <c r="Q91" s="366">
        <v>0.90949999999999998</v>
      </c>
      <c r="R91" s="367">
        <v>0</v>
      </c>
      <c r="S91" s="366">
        <v>0.90949999999999998</v>
      </c>
      <c r="T91" s="1"/>
      <c r="U91" s="1"/>
      <c r="V91" s="1"/>
      <c r="W91" s="1"/>
      <c r="X91" s="1"/>
      <c r="Y91" s="1"/>
      <c r="Z91" s="1"/>
      <c r="AA91" s="1"/>
      <c r="AB91" s="1"/>
    </row>
    <row r="92" spans="1:28" ht="18" x14ac:dyDescent="0.3">
      <c r="A92" s="1"/>
      <c r="B92" s="364">
        <v>3</v>
      </c>
      <c r="C92" s="68">
        <v>88</v>
      </c>
      <c r="D92" s="69">
        <v>80668954</v>
      </c>
      <c r="E92" s="69" t="s">
        <v>85</v>
      </c>
      <c r="F92" s="24" t="s">
        <v>670</v>
      </c>
      <c r="G92" s="365">
        <v>1</v>
      </c>
      <c r="H92" s="365">
        <v>1</v>
      </c>
      <c r="I92" s="365">
        <v>1</v>
      </c>
      <c r="J92" s="365">
        <v>1</v>
      </c>
      <c r="K92" s="365">
        <v>1</v>
      </c>
      <c r="L92" s="365">
        <v>0.99790000000000001</v>
      </c>
      <c r="M92" s="365">
        <v>1</v>
      </c>
      <c r="N92" s="365">
        <v>1</v>
      </c>
      <c r="O92" s="365">
        <v>0</v>
      </c>
      <c r="P92" s="365">
        <v>1</v>
      </c>
      <c r="Q92" s="366">
        <v>0.9798</v>
      </c>
      <c r="R92" s="367">
        <v>0</v>
      </c>
      <c r="S92" s="366">
        <v>0.9798</v>
      </c>
      <c r="T92" s="1"/>
      <c r="U92" s="1"/>
      <c r="V92" s="1"/>
      <c r="W92" s="1"/>
      <c r="X92" s="1"/>
      <c r="Y92" s="1"/>
      <c r="Z92" s="1"/>
      <c r="AA92" s="1"/>
      <c r="AB92" s="1"/>
    </row>
    <row r="93" spans="1:28" ht="18" x14ac:dyDescent="0.3">
      <c r="A93" s="1"/>
      <c r="B93" s="364">
        <v>4</v>
      </c>
      <c r="C93" s="68">
        <v>89</v>
      </c>
      <c r="D93" s="69">
        <v>80668924</v>
      </c>
      <c r="E93" s="69" t="s">
        <v>86</v>
      </c>
      <c r="F93" s="24" t="s">
        <v>670</v>
      </c>
      <c r="G93" s="365">
        <v>1</v>
      </c>
      <c r="H93" s="365">
        <v>1</v>
      </c>
      <c r="I93" s="365">
        <v>1</v>
      </c>
      <c r="J93" s="365">
        <v>1</v>
      </c>
      <c r="K93" s="365">
        <v>1</v>
      </c>
      <c r="L93" s="365">
        <v>0.97919999999999996</v>
      </c>
      <c r="M93" s="365">
        <v>0.8</v>
      </c>
      <c r="N93" s="365">
        <v>1</v>
      </c>
      <c r="O93" s="365">
        <v>1</v>
      </c>
      <c r="P93" s="365">
        <v>1</v>
      </c>
      <c r="Q93" s="366">
        <v>0.92789999999999995</v>
      </c>
      <c r="R93" s="367">
        <v>0</v>
      </c>
      <c r="S93" s="366">
        <v>0.92789999999999995</v>
      </c>
      <c r="T93" s="1"/>
      <c r="U93" s="1"/>
      <c r="V93" s="1"/>
      <c r="W93" s="1"/>
      <c r="X93" s="1"/>
      <c r="Y93" s="1"/>
      <c r="Z93" s="1"/>
      <c r="AA93" s="1"/>
      <c r="AB93" s="1"/>
    </row>
    <row r="94" spans="1:28" ht="18" x14ac:dyDescent="0.3">
      <c r="A94" s="1"/>
      <c r="B94" s="364">
        <v>5</v>
      </c>
      <c r="C94" s="68">
        <v>90</v>
      </c>
      <c r="D94" s="69">
        <v>80658694</v>
      </c>
      <c r="E94" s="69" t="s">
        <v>87</v>
      </c>
      <c r="F94" s="24" t="s">
        <v>670</v>
      </c>
      <c r="G94" s="365">
        <v>1</v>
      </c>
      <c r="H94" s="365">
        <v>1</v>
      </c>
      <c r="I94" s="365">
        <v>1</v>
      </c>
      <c r="J94" s="365">
        <v>1</v>
      </c>
      <c r="K94" s="365">
        <v>1</v>
      </c>
      <c r="L94" s="365">
        <v>0.99329999999999996</v>
      </c>
      <c r="M94" s="365">
        <v>0.8</v>
      </c>
      <c r="N94" s="365">
        <v>0.5</v>
      </c>
      <c r="O94" s="365">
        <v>0</v>
      </c>
      <c r="P94" s="365">
        <v>1</v>
      </c>
      <c r="Q94" s="366">
        <v>0.86929999999999996</v>
      </c>
      <c r="R94" s="367">
        <v>0</v>
      </c>
      <c r="S94" s="366">
        <v>0.86929999999999996</v>
      </c>
      <c r="T94" s="1"/>
      <c r="U94" s="1"/>
      <c r="V94" s="1"/>
      <c r="W94" s="1"/>
      <c r="X94" s="1"/>
      <c r="Y94" s="1"/>
      <c r="Z94" s="1"/>
      <c r="AA94" s="1"/>
      <c r="AB94" s="1"/>
    </row>
    <row r="95" spans="1:28" ht="18" x14ac:dyDescent="0.3">
      <c r="A95" s="1"/>
      <c r="B95" s="364">
        <v>6</v>
      </c>
      <c r="C95" s="68">
        <v>91</v>
      </c>
      <c r="D95" s="69">
        <v>80674464</v>
      </c>
      <c r="E95" s="69" t="s">
        <v>88</v>
      </c>
      <c r="F95" s="24" t="s">
        <v>670</v>
      </c>
      <c r="G95" s="365">
        <v>1</v>
      </c>
      <c r="H95" s="365">
        <v>1</v>
      </c>
      <c r="I95" s="365">
        <v>1</v>
      </c>
      <c r="J95" s="365">
        <v>0.98740000000000006</v>
      </c>
      <c r="K95" s="365">
        <v>1</v>
      </c>
      <c r="L95" s="365">
        <v>0.98619999999999997</v>
      </c>
      <c r="M95" s="365">
        <v>0.8</v>
      </c>
      <c r="N95" s="365">
        <v>1</v>
      </c>
      <c r="O95" s="365">
        <v>0</v>
      </c>
      <c r="P95" s="365">
        <v>1</v>
      </c>
      <c r="Q95" s="366">
        <v>0.90739999999999998</v>
      </c>
      <c r="R95" s="367">
        <v>0.01</v>
      </c>
      <c r="S95" s="366">
        <v>0.89739999999999998</v>
      </c>
      <c r="T95" s="1"/>
      <c r="U95" s="1"/>
      <c r="V95" s="1"/>
      <c r="W95" s="1"/>
      <c r="X95" s="1"/>
      <c r="Y95" s="1"/>
      <c r="Z95" s="1"/>
      <c r="AA95" s="1"/>
      <c r="AB95" s="1"/>
    </row>
    <row r="96" spans="1:28" ht="18" x14ac:dyDescent="0.3">
      <c r="A96" s="1"/>
      <c r="B96" s="364">
        <v>7</v>
      </c>
      <c r="C96" s="68">
        <v>92</v>
      </c>
      <c r="D96" s="69">
        <v>80673101</v>
      </c>
      <c r="E96" s="69" t="s">
        <v>575</v>
      </c>
      <c r="F96" s="24" t="s">
        <v>680</v>
      </c>
      <c r="G96" s="365">
        <v>0.98</v>
      </c>
      <c r="H96" s="365">
        <v>1</v>
      </c>
      <c r="I96" s="365">
        <v>1</v>
      </c>
      <c r="J96" s="365">
        <v>0.89759999999999995</v>
      </c>
      <c r="K96" s="365">
        <v>1</v>
      </c>
      <c r="L96" s="365">
        <v>0.99870000000000003</v>
      </c>
      <c r="M96" s="365">
        <v>1</v>
      </c>
      <c r="N96" s="365">
        <v>0.5</v>
      </c>
      <c r="O96" s="365">
        <v>1</v>
      </c>
      <c r="P96" s="365">
        <v>1</v>
      </c>
      <c r="Q96" s="366">
        <v>0.9476</v>
      </c>
      <c r="R96" s="367">
        <v>0</v>
      </c>
      <c r="S96" s="366">
        <v>0.9476</v>
      </c>
      <c r="T96" s="1"/>
      <c r="U96" s="1"/>
      <c r="V96" s="1"/>
      <c r="W96" s="1"/>
      <c r="X96" s="1"/>
      <c r="Y96" s="1"/>
      <c r="Z96" s="1"/>
      <c r="AA96" s="1"/>
      <c r="AB96" s="1"/>
    </row>
    <row r="97" spans="1:28" ht="18" x14ac:dyDescent="0.3">
      <c r="A97" s="1"/>
      <c r="B97" s="364">
        <v>8</v>
      </c>
      <c r="C97" s="68">
        <v>93</v>
      </c>
      <c r="D97" s="69">
        <v>80671813</v>
      </c>
      <c r="E97" s="69" t="s">
        <v>576</v>
      </c>
      <c r="F97" s="24" t="s">
        <v>680</v>
      </c>
      <c r="G97" s="365">
        <v>1</v>
      </c>
      <c r="H97" s="365">
        <v>0.99</v>
      </c>
      <c r="I97" s="365">
        <v>1</v>
      </c>
      <c r="J97" s="365">
        <v>0.96960000000000002</v>
      </c>
      <c r="K97" s="365">
        <v>1</v>
      </c>
      <c r="L97" s="365">
        <v>0.96120000000000005</v>
      </c>
      <c r="M97" s="365">
        <v>0.8</v>
      </c>
      <c r="N97" s="365">
        <v>0.5</v>
      </c>
      <c r="O97" s="365">
        <v>0</v>
      </c>
      <c r="P97" s="365">
        <v>1</v>
      </c>
      <c r="Q97" s="366">
        <v>0.86260000000000003</v>
      </c>
      <c r="R97" s="367">
        <v>0</v>
      </c>
      <c r="S97" s="366">
        <v>0.86260000000000003</v>
      </c>
      <c r="T97" s="1"/>
      <c r="U97" s="1"/>
      <c r="V97" s="1"/>
      <c r="W97" s="1"/>
      <c r="X97" s="1"/>
      <c r="Y97" s="1"/>
      <c r="Z97" s="1"/>
      <c r="AA97" s="1"/>
      <c r="AB97" s="1"/>
    </row>
    <row r="98" spans="1:28" ht="18" x14ac:dyDescent="0.3">
      <c r="A98" s="1"/>
      <c r="B98" s="364">
        <v>1</v>
      </c>
      <c r="C98" s="68">
        <v>94</v>
      </c>
      <c r="D98" s="69">
        <v>80672648</v>
      </c>
      <c r="E98" s="69" t="s">
        <v>577</v>
      </c>
      <c r="F98" s="24" t="s">
        <v>680</v>
      </c>
      <c r="G98" s="365">
        <v>0.96</v>
      </c>
      <c r="H98" s="365">
        <v>1</v>
      </c>
      <c r="I98" s="365">
        <v>1</v>
      </c>
      <c r="J98" s="365">
        <v>0.92410000000000003</v>
      </c>
      <c r="K98" s="365">
        <v>1</v>
      </c>
      <c r="L98" s="365">
        <v>0.99439999999999995</v>
      </c>
      <c r="M98" s="365">
        <v>1</v>
      </c>
      <c r="N98" s="365">
        <v>0.5</v>
      </c>
      <c r="O98" s="365">
        <v>0</v>
      </c>
      <c r="P98" s="365">
        <v>0.5</v>
      </c>
      <c r="Q98" s="366">
        <v>0.90290000000000004</v>
      </c>
      <c r="R98" s="367">
        <v>0</v>
      </c>
      <c r="S98" s="366">
        <v>0.90290000000000004</v>
      </c>
      <c r="T98" s="1"/>
      <c r="U98" s="1"/>
      <c r="V98" s="1"/>
      <c r="W98" s="1"/>
      <c r="X98" s="1"/>
      <c r="Y98" s="1"/>
      <c r="Z98" s="1"/>
      <c r="AA98" s="1"/>
      <c r="AB98" s="1"/>
    </row>
    <row r="99" spans="1:28" ht="18" x14ac:dyDescent="0.3">
      <c r="A99" s="1"/>
      <c r="B99" s="364">
        <v>2</v>
      </c>
      <c r="C99" s="68">
        <v>95</v>
      </c>
      <c r="D99" s="69">
        <v>80673595</v>
      </c>
      <c r="E99" s="69" t="s">
        <v>578</v>
      </c>
      <c r="F99" s="24" t="s">
        <v>680</v>
      </c>
      <c r="G99" s="365">
        <v>1</v>
      </c>
      <c r="H99" s="365">
        <v>1</v>
      </c>
      <c r="I99" s="365">
        <v>1</v>
      </c>
      <c r="J99" s="365">
        <v>1</v>
      </c>
      <c r="K99" s="365">
        <v>1</v>
      </c>
      <c r="L99" s="365">
        <v>0.995</v>
      </c>
      <c r="M99" s="365">
        <v>0.8</v>
      </c>
      <c r="N99" s="365">
        <v>1</v>
      </c>
      <c r="O99" s="365">
        <v>0</v>
      </c>
      <c r="P99" s="365">
        <v>1</v>
      </c>
      <c r="Q99" s="366">
        <v>0.90949999999999998</v>
      </c>
      <c r="R99" s="367">
        <v>0</v>
      </c>
      <c r="S99" s="366">
        <v>0.90949999999999998</v>
      </c>
      <c r="T99" s="1"/>
      <c r="U99" s="1"/>
      <c r="V99" s="1"/>
      <c r="W99" s="1"/>
      <c r="X99" s="1"/>
      <c r="Y99" s="1"/>
      <c r="Z99" s="1"/>
      <c r="AA99" s="1"/>
      <c r="AB99" s="1"/>
    </row>
    <row r="100" spans="1:28" ht="18" x14ac:dyDescent="0.3">
      <c r="A100" s="1"/>
      <c r="B100" s="364">
        <v>3</v>
      </c>
      <c r="C100" s="68">
        <v>96</v>
      </c>
      <c r="D100" s="69">
        <v>80665553</v>
      </c>
      <c r="E100" s="69" t="s">
        <v>579</v>
      </c>
      <c r="F100" s="24" t="s">
        <v>680</v>
      </c>
      <c r="G100" s="365">
        <v>0.96</v>
      </c>
      <c r="H100" s="365">
        <v>1</v>
      </c>
      <c r="I100" s="365">
        <v>1</v>
      </c>
      <c r="J100" s="365">
        <v>1</v>
      </c>
      <c r="K100" s="365">
        <v>1</v>
      </c>
      <c r="L100" s="365">
        <v>1</v>
      </c>
      <c r="M100" s="365">
        <v>1</v>
      </c>
      <c r="N100" s="365">
        <v>1</v>
      </c>
      <c r="O100" s="365">
        <v>0</v>
      </c>
      <c r="P100" s="365">
        <v>1</v>
      </c>
      <c r="Q100" s="366">
        <v>0.97599999999999998</v>
      </c>
      <c r="R100" s="367">
        <v>0</v>
      </c>
      <c r="S100" s="366">
        <v>0.97599999999999998</v>
      </c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8" x14ac:dyDescent="0.3">
      <c r="A101" s="1"/>
      <c r="B101" s="364">
        <v>4</v>
      </c>
      <c r="C101" s="68">
        <v>97</v>
      </c>
      <c r="D101" s="69">
        <v>80662040</v>
      </c>
      <c r="E101" s="69" t="s">
        <v>390</v>
      </c>
      <c r="F101" s="24" t="s">
        <v>689</v>
      </c>
      <c r="G101" s="365">
        <v>1</v>
      </c>
      <c r="H101" s="365">
        <v>1</v>
      </c>
      <c r="I101" s="365">
        <v>1</v>
      </c>
      <c r="J101" s="365">
        <v>0.97770000000000001</v>
      </c>
      <c r="K101" s="365">
        <v>1</v>
      </c>
      <c r="L101" s="365">
        <v>0.99739999999999995</v>
      </c>
      <c r="M101" s="365">
        <v>1</v>
      </c>
      <c r="N101" s="365">
        <v>0.5</v>
      </c>
      <c r="O101" s="365">
        <v>1</v>
      </c>
      <c r="P101" s="365">
        <v>1</v>
      </c>
      <c r="Q101" s="366">
        <v>0.95750000000000002</v>
      </c>
      <c r="R101" s="367">
        <v>0</v>
      </c>
      <c r="S101" s="366">
        <v>0.95750000000000002</v>
      </c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8" x14ac:dyDescent="0.3">
      <c r="A102" s="1"/>
      <c r="B102" s="364">
        <v>5</v>
      </c>
      <c r="C102" s="68">
        <v>98</v>
      </c>
      <c r="D102" s="69">
        <v>80665321</v>
      </c>
      <c r="E102" s="69" t="s">
        <v>391</v>
      </c>
      <c r="F102" s="24" t="s">
        <v>689</v>
      </c>
      <c r="G102" s="365">
        <v>1</v>
      </c>
      <c r="H102" s="365">
        <v>1</v>
      </c>
      <c r="I102" s="365">
        <v>1</v>
      </c>
      <c r="J102" s="365">
        <v>1</v>
      </c>
      <c r="K102" s="365">
        <v>1</v>
      </c>
      <c r="L102" s="365">
        <v>1</v>
      </c>
      <c r="M102" s="365">
        <v>1</v>
      </c>
      <c r="N102" s="365">
        <v>1</v>
      </c>
      <c r="O102" s="365">
        <v>0</v>
      </c>
      <c r="P102" s="365">
        <v>0.5</v>
      </c>
      <c r="Q102" s="366">
        <v>0.95499999999999996</v>
      </c>
      <c r="R102" s="367">
        <v>0</v>
      </c>
      <c r="S102" s="366">
        <v>0.95499999999999996</v>
      </c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8" x14ac:dyDescent="0.3">
      <c r="A103" s="1"/>
      <c r="B103" s="364">
        <v>6</v>
      </c>
      <c r="C103" s="68">
        <v>99</v>
      </c>
      <c r="D103" s="69">
        <v>80662058</v>
      </c>
      <c r="E103" s="69" t="s">
        <v>392</v>
      </c>
      <c r="F103" s="24" t="s">
        <v>689</v>
      </c>
      <c r="G103" s="365">
        <v>1</v>
      </c>
      <c r="H103" s="365">
        <v>1</v>
      </c>
      <c r="I103" s="365">
        <v>1</v>
      </c>
      <c r="J103" s="365">
        <v>1</v>
      </c>
      <c r="K103" s="365">
        <v>1</v>
      </c>
      <c r="L103" s="365">
        <v>0.99139999999999995</v>
      </c>
      <c r="M103" s="365">
        <v>0.8</v>
      </c>
      <c r="N103" s="365">
        <v>1</v>
      </c>
      <c r="O103" s="365">
        <v>0</v>
      </c>
      <c r="P103" s="365">
        <v>0.75</v>
      </c>
      <c r="Q103" s="366">
        <v>0.89659999999999995</v>
      </c>
      <c r="R103" s="367">
        <v>0</v>
      </c>
      <c r="S103" s="366">
        <v>0.89659999999999995</v>
      </c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8" x14ac:dyDescent="0.3">
      <c r="A104" s="1"/>
      <c r="B104" s="364">
        <v>7</v>
      </c>
      <c r="C104" s="68">
        <v>100</v>
      </c>
      <c r="D104" s="69">
        <v>80661191</v>
      </c>
      <c r="E104" s="69" t="s">
        <v>393</v>
      </c>
      <c r="F104" s="24" t="s">
        <v>689</v>
      </c>
      <c r="G104" s="365">
        <v>1</v>
      </c>
      <c r="H104" s="365">
        <v>0.98</v>
      </c>
      <c r="I104" s="365">
        <v>1</v>
      </c>
      <c r="J104" s="365">
        <v>1</v>
      </c>
      <c r="K104" s="365">
        <v>1</v>
      </c>
      <c r="L104" s="365">
        <v>1</v>
      </c>
      <c r="M104" s="365">
        <v>0.8</v>
      </c>
      <c r="N104" s="365">
        <v>0.5</v>
      </c>
      <c r="O104" s="365">
        <v>0</v>
      </c>
      <c r="P104" s="365">
        <v>1</v>
      </c>
      <c r="Q104" s="366">
        <v>0.86899999999999999</v>
      </c>
      <c r="R104" s="367">
        <v>0</v>
      </c>
      <c r="S104" s="366">
        <v>0.86899999999999999</v>
      </c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8" x14ac:dyDescent="0.3">
      <c r="A105" s="1"/>
      <c r="B105" s="364">
        <v>1</v>
      </c>
      <c r="C105" s="68">
        <v>101</v>
      </c>
      <c r="D105" s="69">
        <v>80667638</v>
      </c>
      <c r="E105" s="69" t="s">
        <v>394</v>
      </c>
      <c r="F105" s="24" t="s">
        <v>689</v>
      </c>
      <c r="G105" s="365">
        <v>0.98</v>
      </c>
      <c r="H105" s="365">
        <v>1</v>
      </c>
      <c r="I105" s="365">
        <v>1</v>
      </c>
      <c r="J105" s="365">
        <v>0.88660000000000005</v>
      </c>
      <c r="K105" s="365">
        <v>1</v>
      </c>
      <c r="L105" s="365">
        <v>0.9768</v>
      </c>
      <c r="M105" s="365">
        <v>0.8</v>
      </c>
      <c r="N105" s="365">
        <v>0.5</v>
      </c>
      <c r="O105" s="365">
        <v>1</v>
      </c>
      <c r="P105" s="365">
        <v>1</v>
      </c>
      <c r="Q105" s="366">
        <v>0.87429999999999997</v>
      </c>
      <c r="R105" s="367">
        <v>0</v>
      </c>
      <c r="S105" s="366">
        <v>0.87429999999999997</v>
      </c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8" x14ac:dyDescent="0.3">
      <c r="A106" s="1"/>
      <c r="B106" s="364">
        <v>2</v>
      </c>
      <c r="C106" s="68">
        <v>102</v>
      </c>
      <c r="D106" s="69">
        <v>80661430</v>
      </c>
      <c r="E106" s="69" t="s">
        <v>313</v>
      </c>
      <c r="F106" s="24" t="s">
        <v>664</v>
      </c>
      <c r="G106" s="365">
        <v>0.98</v>
      </c>
      <c r="H106" s="365">
        <v>1</v>
      </c>
      <c r="I106" s="365">
        <v>1</v>
      </c>
      <c r="J106" s="365">
        <v>0.94140000000000001</v>
      </c>
      <c r="K106" s="365">
        <v>1</v>
      </c>
      <c r="L106" s="365">
        <v>1</v>
      </c>
      <c r="M106" s="365">
        <v>1</v>
      </c>
      <c r="N106" s="365">
        <v>1</v>
      </c>
      <c r="O106" s="365">
        <v>0</v>
      </c>
      <c r="P106" s="365">
        <v>1</v>
      </c>
      <c r="Q106" s="366">
        <v>0.97209999999999996</v>
      </c>
      <c r="R106" s="367">
        <v>0</v>
      </c>
      <c r="S106" s="366">
        <v>0.97209999999999996</v>
      </c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8" x14ac:dyDescent="0.3">
      <c r="A107" s="1"/>
      <c r="B107" s="364">
        <v>3</v>
      </c>
      <c r="C107" s="68">
        <v>103</v>
      </c>
      <c r="D107" s="69">
        <v>80670975</v>
      </c>
      <c r="E107" s="69" t="s">
        <v>314</v>
      </c>
      <c r="F107" s="24" t="s">
        <v>664</v>
      </c>
      <c r="G107" s="365">
        <v>0.98</v>
      </c>
      <c r="H107" s="365">
        <v>1</v>
      </c>
      <c r="I107" s="365">
        <v>1</v>
      </c>
      <c r="J107" s="365">
        <v>0.87219999999999998</v>
      </c>
      <c r="K107" s="365">
        <v>1</v>
      </c>
      <c r="L107" s="365">
        <v>1</v>
      </c>
      <c r="M107" s="365">
        <v>0.8</v>
      </c>
      <c r="N107" s="365">
        <v>1</v>
      </c>
      <c r="O107" s="365">
        <v>0</v>
      </c>
      <c r="P107" s="365">
        <v>1</v>
      </c>
      <c r="Q107" s="366">
        <v>0.8952</v>
      </c>
      <c r="R107" s="367">
        <v>0</v>
      </c>
      <c r="S107" s="366">
        <v>0.8952</v>
      </c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8" x14ac:dyDescent="0.3">
      <c r="A108" s="1"/>
      <c r="B108" s="364">
        <v>4</v>
      </c>
      <c r="C108" s="68">
        <v>104</v>
      </c>
      <c r="D108" s="69">
        <v>80672165</v>
      </c>
      <c r="E108" s="69" t="s">
        <v>315</v>
      </c>
      <c r="F108" s="24" t="s">
        <v>664</v>
      </c>
      <c r="G108" s="365">
        <v>1</v>
      </c>
      <c r="H108" s="365">
        <v>1</v>
      </c>
      <c r="I108" s="365">
        <v>1</v>
      </c>
      <c r="J108" s="365">
        <v>1</v>
      </c>
      <c r="K108" s="365">
        <v>1</v>
      </c>
      <c r="L108" s="365">
        <v>1</v>
      </c>
      <c r="M108" s="365">
        <v>1</v>
      </c>
      <c r="N108" s="365">
        <v>1</v>
      </c>
      <c r="O108" s="365">
        <v>0</v>
      </c>
      <c r="P108" s="365">
        <v>1</v>
      </c>
      <c r="Q108" s="366">
        <v>0.98</v>
      </c>
      <c r="R108" s="367">
        <v>0</v>
      </c>
      <c r="S108" s="366">
        <v>0.98</v>
      </c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8" x14ac:dyDescent="0.3">
      <c r="A109" s="1"/>
      <c r="B109" s="364">
        <v>5</v>
      </c>
      <c r="C109" s="68">
        <v>105</v>
      </c>
      <c r="D109" s="69">
        <v>80672636</v>
      </c>
      <c r="E109" s="69" t="s">
        <v>316</v>
      </c>
      <c r="F109" s="24" t="s">
        <v>664</v>
      </c>
      <c r="G109" s="365">
        <v>1</v>
      </c>
      <c r="H109" s="365">
        <v>1</v>
      </c>
      <c r="I109" s="365">
        <v>0.99170000000000003</v>
      </c>
      <c r="J109" s="365">
        <v>0.9556</v>
      </c>
      <c r="K109" s="365">
        <v>1</v>
      </c>
      <c r="L109" s="365">
        <v>0.96409999999999996</v>
      </c>
      <c r="M109" s="365">
        <v>0.8</v>
      </c>
      <c r="N109" s="365">
        <v>0.5</v>
      </c>
      <c r="O109" s="365">
        <v>0</v>
      </c>
      <c r="P109" s="365">
        <v>1</v>
      </c>
      <c r="Q109" s="366">
        <v>0.86109999999999998</v>
      </c>
      <c r="R109" s="367">
        <v>0</v>
      </c>
      <c r="S109" s="366">
        <v>0.86109999999999998</v>
      </c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8" x14ac:dyDescent="0.3">
      <c r="A110" s="1"/>
      <c r="B110" s="364">
        <v>6</v>
      </c>
      <c r="C110" s="68">
        <v>106</v>
      </c>
      <c r="D110" s="69">
        <v>80662055</v>
      </c>
      <c r="E110" s="69" t="s">
        <v>317</v>
      </c>
      <c r="F110" s="24" t="s">
        <v>664</v>
      </c>
      <c r="G110" s="365">
        <v>1</v>
      </c>
      <c r="H110" s="365">
        <v>1</v>
      </c>
      <c r="I110" s="365">
        <v>1</v>
      </c>
      <c r="J110" s="365">
        <v>0.87680000000000002</v>
      </c>
      <c r="K110" s="365">
        <v>0</v>
      </c>
      <c r="L110" s="365">
        <v>0.98809999999999998</v>
      </c>
      <c r="M110" s="365">
        <v>1</v>
      </c>
      <c r="N110" s="365">
        <v>0.5</v>
      </c>
      <c r="O110" s="365">
        <v>0</v>
      </c>
      <c r="P110" s="365">
        <v>0.5</v>
      </c>
      <c r="Q110" s="366">
        <v>0.85150000000000003</v>
      </c>
      <c r="R110" s="367">
        <v>0</v>
      </c>
      <c r="S110" s="366">
        <v>0.85150000000000003</v>
      </c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8" x14ac:dyDescent="0.3">
      <c r="A111" s="1"/>
      <c r="B111" s="364">
        <v>7</v>
      </c>
      <c r="C111" s="68">
        <v>107</v>
      </c>
      <c r="D111" s="69">
        <v>80668039</v>
      </c>
      <c r="E111" s="69" t="s">
        <v>318</v>
      </c>
      <c r="F111" s="24" t="s">
        <v>664</v>
      </c>
      <c r="G111" s="365">
        <v>1</v>
      </c>
      <c r="H111" s="365">
        <v>1</v>
      </c>
      <c r="I111" s="365">
        <v>1</v>
      </c>
      <c r="J111" s="365">
        <v>0.96220000000000006</v>
      </c>
      <c r="K111" s="365">
        <v>1</v>
      </c>
      <c r="L111" s="365">
        <v>0.99809999999999999</v>
      </c>
      <c r="M111" s="365">
        <v>1</v>
      </c>
      <c r="N111" s="365">
        <v>1</v>
      </c>
      <c r="O111" s="365">
        <v>0</v>
      </c>
      <c r="P111" s="365">
        <v>0.75</v>
      </c>
      <c r="Q111" s="366">
        <v>0.96350000000000002</v>
      </c>
      <c r="R111" s="367">
        <v>0</v>
      </c>
      <c r="S111" s="366">
        <v>0.96350000000000002</v>
      </c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8" x14ac:dyDescent="0.3">
      <c r="A112" s="1"/>
      <c r="B112" s="364">
        <v>8</v>
      </c>
      <c r="C112" s="68">
        <v>108</v>
      </c>
      <c r="D112" s="69">
        <v>80668933</v>
      </c>
      <c r="E112" s="69" t="s">
        <v>225</v>
      </c>
      <c r="F112" s="24" t="s">
        <v>685</v>
      </c>
      <c r="G112" s="365">
        <v>1</v>
      </c>
      <c r="H112" s="365">
        <v>1</v>
      </c>
      <c r="I112" s="365">
        <v>1</v>
      </c>
      <c r="J112" s="365">
        <v>1</v>
      </c>
      <c r="K112" s="365">
        <v>1</v>
      </c>
      <c r="L112" s="365">
        <v>1</v>
      </c>
      <c r="M112" s="365">
        <v>0.8</v>
      </c>
      <c r="N112" s="365">
        <v>1</v>
      </c>
      <c r="O112" s="365">
        <v>0</v>
      </c>
      <c r="P112" s="365">
        <v>1</v>
      </c>
      <c r="Q112" s="366">
        <v>0.91</v>
      </c>
      <c r="R112" s="367">
        <v>0</v>
      </c>
      <c r="S112" s="366">
        <v>0.91</v>
      </c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8" x14ac:dyDescent="0.3">
      <c r="A113" s="1"/>
      <c r="B113" s="364">
        <v>1</v>
      </c>
      <c r="C113" s="68">
        <v>109</v>
      </c>
      <c r="D113" s="69">
        <v>80663068</v>
      </c>
      <c r="E113" s="69" t="s">
        <v>226</v>
      </c>
      <c r="F113" s="24" t="s">
        <v>685</v>
      </c>
      <c r="G113" s="365">
        <v>1</v>
      </c>
      <c r="H113" s="365">
        <v>1</v>
      </c>
      <c r="I113" s="365">
        <v>1</v>
      </c>
      <c r="J113" s="365">
        <v>0.98960000000000004</v>
      </c>
      <c r="K113" s="365">
        <v>0</v>
      </c>
      <c r="L113" s="365">
        <v>0.99560000000000004</v>
      </c>
      <c r="M113" s="365">
        <v>0.8</v>
      </c>
      <c r="N113" s="365">
        <v>1</v>
      </c>
      <c r="O113" s="365">
        <v>0</v>
      </c>
      <c r="P113" s="365">
        <v>1</v>
      </c>
      <c r="Q113" s="366">
        <v>0.85850000000000004</v>
      </c>
      <c r="R113" s="367">
        <v>0</v>
      </c>
      <c r="S113" s="366">
        <v>0.85850000000000004</v>
      </c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8" x14ac:dyDescent="0.3">
      <c r="A114" s="1"/>
      <c r="B114" s="364">
        <v>2</v>
      </c>
      <c r="C114" s="68">
        <v>110</v>
      </c>
      <c r="D114" s="69">
        <v>80667648</v>
      </c>
      <c r="E114" s="69" t="s">
        <v>227</v>
      </c>
      <c r="F114" s="24" t="s">
        <v>685</v>
      </c>
      <c r="G114" s="365">
        <v>1</v>
      </c>
      <c r="H114" s="365">
        <v>1</v>
      </c>
      <c r="I114" s="365">
        <v>1</v>
      </c>
      <c r="J114" s="365">
        <v>1</v>
      </c>
      <c r="K114" s="365">
        <v>1</v>
      </c>
      <c r="L114" s="365">
        <v>0.99450000000000005</v>
      </c>
      <c r="M114" s="365">
        <v>0.8</v>
      </c>
      <c r="N114" s="365">
        <v>1</v>
      </c>
      <c r="O114" s="365">
        <v>0</v>
      </c>
      <c r="P114" s="365">
        <v>1</v>
      </c>
      <c r="Q114" s="366">
        <v>0.90949999999999998</v>
      </c>
      <c r="R114" s="367">
        <v>0</v>
      </c>
      <c r="S114" s="366">
        <v>0.90949999999999998</v>
      </c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8" x14ac:dyDescent="0.3">
      <c r="A115" s="1"/>
      <c r="B115" s="364">
        <v>3</v>
      </c>
      <c r="C115" s="68">
        <v>111</v>
      </c>
      <c r="D115" s="69">
        <v>80660298</v>
      </c>
      <c r="E115" s="69" t="s">
        <v>228</v>
      </c>
      <c r="F115" s="24" t="s">
        <v>685</v>
      </c>
      <c r="G115" s="365">
        <v>1</v>
      </c>
      <c r="H115" s="365">
        <v>1</v>
      </c>
      <c r="I115" s="365">
        <v>1</v>
      </c>
      <c r="J115" s="365">
        <v>1</v>
      </c>
      <c r="K115" s="365">
        <v>1</v>
      </c>
      <c r="L115" s="365">
        <v>0.99790000000000001</v>
      </c>
      <c r="M115" s="365">
        <v>1</v>
      </c>
      <c r="N115" s="365">
        <v>0.5</v>
      </c>
      <c r="O115" s="365">
        <v>0</v>
      </c>
      <c r="P115" s="365">
        <v>0.75</v>
      </c>
      <c r="Q115" s="366">
        <v>0.92730000000000001</v>
      </c>
      <c r="R115" s="367">
        <v>0</v>
      </c>
      <c r="S115" s="366">
        <v>0.92730000000000001</v>
      </c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8" x14ac:dyDescent="0.3">
      <c r="A116" s="1"/>
      <c r="B116" s="364">
        <v>4</v>
      </c>
      <c r="C116" s="68">
        <v>112</v>
      </c>
      <c r="D116" s="69">
        <v>80664672</v>
      </c>
      <c r="E116" s="69" t="s">
        <v>229</v>
      </c>
      <c r="F116" s="24" t="s">
        <v>685</v>
      </c>
      <c r="G116" s="365">
        <v>1</v>
      </c>
      <c r="H116" s="365">
        <v>1</v>
      </c>
      <c r="I116" s="365">
        <v>1</v>
      </c>
      <c r="J116" s="365">
        <v>1</v>
      </c>
      <c r="K116" s="365">
        <v>1</v>
      </c>
      <c r="L116" s="365">
        <v>0.99829999999999997</v>
      </c>
      <c r="M116" s="365">
        <v>1</v>
      </c>
      <c r="N116" s="365">
        <v>1</v>
      </c>
      <c r="O116" s="365">
        <v>0</v>
      </c>
      <c r="P116" s="365">
        <v>0.75</v>
      </c>
      <c r="Q116" s="366">
        <v>0.96730000000000005</v>
      </c>
      <c r="R116" s="367">
        <v>0</v>
      </c>
      <c r="S116" s="366">
        <v>0.96730000000000005</v>
      </c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8" x14ac:dyDescent="0.3">
      <c r="A117" s="1"/>
      <c r="B117" s="364">
        <v>5</v>
      </c>
      <c r="C117" s="68">
        <v>113</v>
      </c>
      <c r="D117" s="69">
        <v>80670969</v>
      </c>
      <c r="E117" s="69" t="s">
        <v>345</v>
      </c>
      <c r="F117" s="24" t="s">
        <v>665</v>
      </c>
      <c r="G117" s="365">
        <v>0.98</v>
      </c>
      <c r="H117" s="365">
        <v>1</v>
      </c>
      <c r="I117" s="365">
        <v>1</v>
      </c>
      <c r="J117" s="365">
        <v>0.98550000000000004</v>
      </c>
      <c r="K117" s="365">
        <v>1</v>
      </c>
      <c r="L117" s="365">
        <v>0.99629999999999996</v>
      </c>
      <c r="M117" s="365">
        <v>0.8</v>
      </c>
      <c r="N117" s="365">
        <v>1</v>
      </c>
      <c r="O117" s="365">
        <v>0</v>
      </c>
      <c r="P117" s="365">
        <v>1</v>
      </c>
      <c r="Q117" s="366">
        <v>0.90620000000000001</v>
      </c>
      <c r="R117" s="367">
        <v>0</v>
      </c>
      <c r="S117" s="366">
        <v>0.90620000000000001</v>
      </c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8" x14ac:dyDescent="0.3">
      <c r="A118" s="1"/>
      <c r="B118" s="364">
        <v>6</v>
      </c>
      <c r="C118" s="68">
        <v>114</v>
      </c>
      <c r="D118" s="69">
        <v>80668038</v>
      </c>
      <c r="E118" s="69" t="s">
        <v>346</v>
      </c>
      <c r="F118" s="24" t="s">
        <v>665</v>
      </c>
      <c r="G118" s="365">
        <v>1</v>
      </c>
      <c r="H118" s="365">
        <v>0.99</v>
      </c>
      <c r="I118" s="365">
        <v>1</v>
      </c>
      <c r="J118" s="365">
        <v>1</v>
      </c>
      <c r="K118" s="365">
        <v>1</v>
      </c>
      <c r="L118" s="365">
        <v>1</v>
      </c>
      <c r="M118" s="365">
        <v>1</v>
      </c>
      <c r="N118" s="365">
        <v>0.5</v>
      </c>
      <c r="O118" s="365">
        <v>0</v>
      </c>
      <c r="P118" s="365">
        <v>0.75</v>
      </c>
      <c r="Q118" s="366">
        <v>0.92700000000000005</v>
      </c>
      <c r="R118" s="367">
        <v>0</v>
      </c>
      <c r="S118" s="366">
        <v>0.92700000000000005</v>
      </c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8" x14ac:dyDescent="0.3">
      <c r="A119" s="1"/>
      <c r="B119" s="364">
        <v>7</v>
      </c>
      <c r="C119" s="68">
        <v>115</v>
      </c>
      <c r="D119" s="69">
        <v>80672168</v>
      </c>
      <c r="E119" s="69" t="s">
        <v>347</v>
      </c>
      <c r="F119" s="24" t="s">
        <v>665</v>
      </c>
      <c r="G119" s="365">
        <v>1</v>
      </c>
      <c r="H119" s="365">
        <v>1</v>
      </c>
      <c r="I119" s="365">
        <v>1</v>
      </c>
      <c r="J119" s="365">
        <v>1</v>
      </c>
      <c r="K119" s="365">
        <v>1</v>
      </c>
      <c r="L119" s="365">
        <v>1</v>
      </c>
      <c r="M119" s="365">
        <v>1</v>
      </c>
      <c r="N119" s="365">
        <v>1</v>
      </c>
      <c r="O119" s="365">
        <v>0</v>
      </c>
      <c r="P119" s="365">
        <v>1</v>
      </c>
      <c r="Q119" s="366">
        <v>0.98</v>
      </c>
      <c r="R119" s="367">
        <v>0</v>
      </c>
      <c r="S119" s="366">
        <v>0.98</v>
      </c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8" x14ac:dyDescent="0.3">
      <c r="A120" s="1"/>
      <c r="B120" s="364">
        <v>1</v>
      </c>
      <c r="C120" s="68">
        <v>116</v>
      </c>
      <c r="D120" s="69">
        <v>80672647</v>
      </c>
      <c r="E120" s="69" t="s">
        <v>348</v>
      </c>
      <c r="F120" s="24" t="s">
        <v>665</v>
      </c>
      <c r="G120" s="365">
        <v>1</v>
      </c>
      <c r="H120" s="365">
        <v>1</v>
      </c>
      <c r="I120" s="365">
        <v>1</v>
      </c>
      <c r="J120" s="365">
        <v>1</v>
      </c>
      <c r="K120" s="365">
        <v>1</v>
      </c>
      <c r="L120" s="365">
        <v>0.99590000000000001</v>
      </c>
      <c r="M120" s="365">
        <v>1</v>
      </c>
      <c r="N120" s="365">
        <v>1</v>
      </c>
      <c r="O120" s="365">
        <v>0</v>
      </c>
      <c r="P120" s="365">
        <v>1</v>
      </c>
      <c r="Q120" s="366">
        <v>0.97960000000000003</v>
      </c>
      <c r="R120" s="367">
        <v>0</v>
      </c>
      <c r="S120" s="366">
        <v>0.97960000000000003</v>
      </c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8" x14ac:dyDescent="0.3">
      <c r="A121" s="1"/>
      <c r="B121" s="364">
        <v>2</v>
      </c>
      <c r="C121" s="68">
        <v>117</v>
      </c>
      <c r="D121" s="69">
        <v>80671827</v>
      </c>
      <c r="E121" s="69" t="s">
        <v>349</v>
      </c>
      <c r="F121" s="24" t="s">
        <v>665</v>
      </c>
      <c r="G121" s="365">
        <v>0.98</v>
      </c>
      <c r="H121" s="365">
        <v>1</v>
      </c>
      <c r="I121" s="365">
        <v>1</v>
      </c>
      <c r="J121" s="365">
        <v>1</v>
      </c>
      <c r="K121" s="365">
        <v>1</v>
      </c>
      <c r="L121" s="365">
        <v>0.99790000000000001</v>
      </c>
      <c r="M121" s="365">
        <v>0.8</v>
      </c>
      <c r="N121" s="365">
        <v>1</v>
      </c>
      <c r="O121" s="365">
        <v>0</v>
      </c>
      <c r="P121" s="365">
        <v>0.5</v>
      </c>
      <c r="Q121" s="366">
        <v>0.88280000000000003</v>
      </c>
      <c r="R121" s="367">
        <v>0</v>
      </c>
      <c r="S121" s="366">
        <v>0.88280000000000003</v>
      </c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8" x14ac:dyDescent="0.3">
      <c r="A122" s="1"/>
      <c r="B122" s="364">
        <v>3</v>
      </c>
      <c r="C122" s="68">
        <v>118</v>
      </c>
      <c r="D122" s="69">
        <v>80666861</v>
      </c>
      <c r="E122" s="69" t="s">
        <v>466</v>
      </c>
      <c r="F122" s="24" t="s">
        <v>671</v>
      </c>
      <c r="G122" s="365">
        <v>0.98</v>
      </c>
      <c r="H122" s="365">
        <v>1</v>
      </c>
      <c r="I122" s="365">
        <v>1</v>
      </c>
      <c r="J122" s="365">
        <v>1</v>
      </c>
      <c r="K122" s="365">
        <v>1</v>
      </c>
      <c r="L122" s="365">
        <v>1</v>
      </c>
      <c r="M122" s="365">
        <v>0.8</v>
      </c>
      <c r="N122" s="365">
        <v>1</v>
      </c>
      <c r="O122" s="365">
        <v>0</v>
      </c>
      <c r="P122" s="365">
        <v>0.5</v>
      </c>
      <c r="Q122" s="366">
        <v>0.88300000000000001</v>
      </c>
      <c r="R122" s="367">
        <v>0</v>
      </c>
      <c r="S122" s="366">
        <v>0.88300000000000001</v>
      </c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8" x14ac:dyDescent="0.3">
      <c r="A123" s="1"/>
      <c r="B123" s="364">
        <v>4</v>
      </c>
      <c r="C123" s="68">
        <v>119</v>
      </c>
      <c r="D123" s="69">
        <v>80668046</v>
      </c>
      <c r="E123" s="69" t="s">
        <v>467</v>
      </c>
      <c r="F123" s="24" t="s">
        <v>671</v>
      </c>
      <c r="G123" s="365">
        <v>0.98</v>
      </c>
      <c r="H123" s="365">
        <v>1</v>
      </c>
      <c r="I123" s="365">
        <v>1</v>
      </c>
      <c r="J123" s="365">
        <v>1</v>
      </c>
      <c r="K123" s="365">
        <v>1</v>
      </c>
      <c r="L123" s="365">
        <v>0.9778</v>
      </c>
      <c r="M123" s="365">
        <v>1</v>
      </c>
      <c r="N123" s="365">
        <v>0.5</v>
      </c>
      <c r="O123" s="365">
        <v>0</v>
      </c>
      <c r="P123" s="365">
        <v>1</v>
      </c>
      <c r="Q123" s="366">
        <v>0.93579999999999997</v>
      </c>
      <c r="R123" s="367">
        <v>0</v>
      </c>
      <c r="S123" s="366">
        <v>0.93579999999999997</v>
      </c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8" x14ac:dyDescent="0.3">
      <c r="A124" s="1"/>
      <c r="B124" s="364">
        <v>5</v>
      </c>
      <c r="C124" s="68">
        <v>120</v>
      </c>
      <c r="D124" s="69">
        <v>80665170</v>
      </c>
      <c r="E124" s="69" t="s">
        <v>468</v>
      </c>
      <c r="F124" s="24" t="s">
        <v>671</v>
      </c>
      <c r="G124" s="365">
        <v>1</v>
      </c>
      <c r="H124" s="365">
        <v>1</v>
      </c>
      <c r="I124" s="365">
        <v>1</v>
      </c>
      <c r="J124" s="365">
        <v>1</v>
      </c>
      <c r="K124" s="365">
        <v>1</v>
      </c>
      <c r="L124" s="365">
        <v>0.99670000000000003</v>
      </c>
      <c r="M124" s="365">
        <v>1</v>
      </c>
      <c r="N124" s="365">
        <v>1</v>
      </c>
      <c r="O124" s="365">
        <v>0</v>
      </c>
      <c r="P124" s="365">
        <v>1</v>
      </c>
      <c r="Q124" s="366">
        <v>0.97970000000000002</v>
      </c>
      <c r="R124" s="367">
        <v>0</v>
      </c>
      <c r="S124" s="366">
        <v>0.97970000000000002</v>
      </c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8" x14ac:dyDescent="0.3">
      <c r="A125" s="1"/>
      <c r="B125" s="364">
        <v>6</v>
      </c>
      <c r="C125" s="68">
        <v>121</v>
      </c>
      <c r="D125" s="69">
        <v>80667646</v>
      </c>
      <c r="E125" s="69" t="s">
        <v>469</v>
      </c>
      <c r="F125" s="24" t="s">
        <v>671</v>
      </c>
      <c r="G125" s="365">
        <v>0.98</v>
      </c>
      <c r="H125" s="365">
        <v>0.99</v>
      </c>
      <c r="I125" s="365">
        <v>1</v>
      </c>
      <c r="J125" s="365">
        <v>0.95440000000000003</v>
      </c>
      <c r="K125" s="365">
        <v>1</v>
      </c>
      <c r="L125" s="365">
        <v>0.99629999999999996</v>
      </c>
      <c r="M125" s="365">
        <v>0.8</v>
      </c>
      <c r="N125" s="365">
        <v>1</v>
      </c>
      <c r="O125" s="365">
        <v>0</v>
      </c>
      <c r="P125" s="365">
        <v>1</v>
      </c>
      <c r="Q125" s="366">
        <v>0.90259999999999996</v>
      </c>
      <c r="R125" s="367">
        <v>0</v>
      </c>
      <c r="S125" s="366">
        <v>0.90259999999999996</v>
      </c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8" x14ac:dyDescent="0.3">
      <c r="A126" s="1"/>
      <c r="B126" s="364">
        <v>7</v>
      </c>
      <c r="C126" s="68">
        <v>122</v>
      </c>
      <c r="D126" s="69">
        <v>80668522</v>
      </c>
      <c r="E126" s="69" t="s">
        <v>470</v>
      </c>
      <c r="F126" s="24" t="s">
        <v>671</v>
      </c>
      <c r="G126" s="365">
        <v>1</v>
      </c>
      <c r="H126" s="365">
        <v>0.99</v>
      </c>
      <c r="I126" s="365">
        <v>1</v>
      </c>
      <c r="J126" s="365">
        <v>1</v>
      </c>
      <c r="K126" s="365">
        <v>1</v>
      </c>
      <c r="L126" s="365">
        <v>0.98939999999999995</v>
      </c>
      <c r="M126" s="365">
        <v>1</v>
      </c>
      <c r="N126" s="365">
        <v>1</v>
      </c>
      <c r="O126" s="365">
        <v>0</v>
      </c>
      <c r="P126" s="365">
        <v>1</v>
      </c>
      <c r="Q126" s="366">
        <v>0.97840000000000005</v>
      </c>
      <c r="R126" s="367">
        <v>0</v>
      </c>
      <c r="S126" s="366">
        <v>0.97840000000000005</v>
      </c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8" x14ac:dyDescent="0.3">
      <c r="A127" s="1"/>
      <c r="B127" s="364">
        <v>1</v>
      </c>
      <c r="C127" s="68">
        <v>123</v>
      </c>
      <c r="D127" s="69">
        <v>80661438</v>
      </c>
      <c r="E127" s="69" t="s">
        <v>440</v>
      </c>
      <c r="F127" s="24" t="s">
        <v>651</v>
      </c>
      <c r="G127" s="365">
        <v>0.98</v>
      </c>
      <c r="H127" s="365">
        <v>1</v>
      </c>
      <c r="I127" s="365">
        <v>1</v>
      </c>
      <c r="J127" s="365">
        <v>1</v>
      </c>
      <c r="K127" s="365">
        <v>1</v>
      </c>
      <c r="L127" s="365">
        <v>1</v>
      </c>
      <c r="M127" s="365">
        <v>0.8</v>
      </c>
      <c r="N127" s="365">
        <v>0</v>
      </c>
      <c r="O127" s="365">
        <v>0</v>
      </c>
      <c r="P127" s="365">
        <v>1</v>
      </c>
      <c r="Q127" s="366">
        <v>0.82799999999999996</v>
      </c>
      <c r="R127" s="367">
        <v>0</v>
      </c>
      <c r="S127" s="366">
        <v>0.82799999999999996</v>
      </c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8" x14ac:dyDescent="0.3">
      <c r="A128" s="1"/>
      <c r="B128" s="364">
        <v>2</v>
      </c>
      <c r="C128" s="68">
        <v>124</v>
      </c>
      <c r="D128" s="69">
        <v>80661445</v>
      </c>
      <c r="E128" s="69" t="s">
        <v>441</v>
      </c>
      <c r="F128" s="24" t="s">
        <v>651</v>
      </c>
      <c r="G128" s="365">
        <v>0.98</v>
      </c>
      <c r="H128" s="365">
        <v>0.99</v>
      </c>
      <c r="I128" s="365">
        <v>1</v>
      </c>
      <c r="J128" s="365">
        <v>1</v>
      </c>
      <c r="K128" s="365">
        <v>1</v>
      </c>
      <c r="L128" s="365">
        <v>1</v>
      </c>
      <c r="M128" s="365">
        <v>1</v>
      </c>
      <c r="N128" s="365">
        <v>1</v>
      </c>
      <c r="O128" s="365">
        <v>0</v>
      </c>
      <c r="P128" s="365">
        <v>0.5</v>
      </c>
      <c r="Q128" s="366">
        <v>0.95250000000000001</v>
      </c>
      <c r="R128" s="367">
        <v>0</v>
      </c>
      <c r="S128" s="366">
        <v>0.95250000000000001</v>
      </c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8" x14ac:dyDescent="0.3">
      <c r="A129" s="1"/>
      <c r="B129" s="364">
        <v>3</v>
      </c>
      <c r="C129" s="68">
        <v>125</v>
      </c>
      <c r="D129" s="69">
        <v>80661158</v>
      </c>
      <c r="E129" s="69" t="s">
        <v>442</v>
      </c>
      <c r="F129" s="24" t="s">
        <v>651</v>
      </c>
      <c r="G129" s="365">
        <v>1</v>
      </c>
      <c r="H129" s="365">
        <v>1</v>
      </c>
      <c r="I129" s="365">
        <v>1</v>
      </c>
      <c r="J129" s="365">
        <v>1</v>
      </c>
      <c r="K129" s="365">
        <v>1</v>
      </c>
      <c r="L129" s="365">
        <v>0.98629999999999995</v>
      </c>
      <c r="M129" s="365">
        <v>0.8</v>
      </c>
      <c r="N129" s="365">
        <v>1</v>
      </c>
      <c r="O129" s="365">
        <v>1</v>
      </c>
      <c r="P129" s="365">
        <v>0.5</v>
      </c>
      <c r="Q129" s="366">
        <v>0.90359999999999996</v>
      </c>
      <c r="R129" s="367">
        <v>0</v>
      </c>
      <c r="S129" s="366">
        <v>0.90359999999999996</v>
      </c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8" x14ac:dyDescent="0.3">
      <c r="A130" s="1"/>
      <c r="B130" s="364">
        <v>4</v>
      </c>
      <c r="C130" s="68">
        <v>126</v>
      </c>
      <c r="D130" s="69">
        <v>80671842</v>
      </c>
      <c r="E130" s="69" t="s">
        <v>443</v>
      </c>
      <c r="F130" s="24" t="s">
        <v>651</v>
      </c>
      <c r="G130" s="365">
        <v>1</v>
      </c>
      <c r="H130" s="365">
        <v>1</v>
      </c>
      <c r="I130" s="365">
        <v>1</v>
      </c>
      <c r="J130" s="365">
        <v>1</v>
      </c>
      <c r="K130" s="365">
        <v>1</v>
      </c>
      <c r="L130" s="365">
        <v>1</v>
      </c>
      <c r="M130" s="365">
        <v>1</v>
      </c>
      <c r="N130" s="365">
        <v>1</v>
      </c>
      <c r="O130" s="365">
        <v>0</v>
      </c>
      <c r="P130" s="365">
        <v>1</v>
      </c>
      <c r="Q130" s="366">
        <v>0.98</v>
      </c>
      <c r="R130" s="367">
        <v>0</v>
      </c>
      <c r="S130" s="366">
        <v>0.98</v>
      </c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8" x14ac:dyDescent="0.3">
      <c r="A131" s="1"/>
      <c r="B131" s="364">
        <v>5</v>
      </c>
      <c r="C131" s="68">
        <v>127</v>
      </c>
      <c r="D131" s="69">
        <v>80671818</v>
      </c>
      <c r="E131" s="69" t="s">
        <v>444</v>
      </c>
      <c r="F131" s="24" t="s">
        <v>651</v>
      </c>
      <c r="G131" s="365">
        <v>1</v>
      </c>
      <c r="H131" s="365">
        <v>1</v>
      </c>
      <c r="I131" s="365">
        <v>1</v>
      </c>
      <c r="J131" s="365">
        <v>1</v>
      </c>
      <c r="K131" s="365">
        <v>1</v>
      </c>
      <c r="L131" s="365">
        <v>0.99590000000000001</v>
      </c>
      <c r="M131" s="365">
        <v>0.8</v>
      </c>
      <c r="N131" s="365">
        <v>1</v>
      </c>
      <c r="O131" s="365">
        <v>0</v>
      </c>
      <c r="P131" s="365">
        <v>0.75</v>
      </c>
      <c r="Q131" s="366">
        <v>0.89710000000000001</v>
      </c>
      <c r="R131" s="367">
        <v>0</v>
      </c>
      <c r="S131" s="366">
        <v>0.89710000000000001</v>
      </c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8" x14ac:dyDescent="0.3">
      <c r="A132" s="1"/>
      <c r="B132" s="364">
        <v>6</v>
      </c>
      <c r="C132" s="68">
        <v>128</v>
      </c>
      <c r="D132" s="69">
        <v>80661193</v>
      </c>
      <c r="E132" s="69" t="s">
        <v>543</v>
      </c>
      <c r="F132" s="24" t="s">
        <v>695</v>
      </c>
      <c r="G132" s="365">
        <v>1</v>
      </c>
      <c r="H132" s="365">
        <v>1</v>
      </c>
      <c r="I132" s="365">
        <v>1</v>
      </c>
      <c r="J132" s="365">
        <v>0.97560000000000002</v>
      </c>
      <c r="K132" s="365">
        <v>1</v>
      </c>
      <c r="L132" s="365">
        <v>1</v>
      </c>
      <c r="M132" s="365">
        <v>0.8</v>
      </c>
      <c r="N132" s="365">
        <v>0.5</v>
      </c>
      <c r="O132" s="365">
        <v>0</v>
      </c>
      <c r="P132" s="365">
        <v>0.5</v>
      </c>
      <c r="Q132" s="366">
        <v>0.84260000000000002</v>
      </c>
      <c r="R132" s="367">
        <v>0</v>
      </c>
      <c r="S132" s="366">
        <v>0.84260000000000002</v>
      </c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8" x14ac:dyDescent="0.3">
      <c r="A133" s="1"/>
      <c r="B133" s="364">
        <v>7</v>
      </c>
      <c r="C133" s="68">
        <v>129</v>
      </c>
      <c r="D133" s="69">
        <v>80668536</v>
      </c>
      <c r="E133" s="69" t="s">
        <v>544</v>
      </c>
      <c r="F133" s="24" t="s">
        <v>695</v>
      </c>
      <c r="G133" s="365">
        <v>1</v>
      </c>
      <c r="H133" s="365">
        <v>1</v>
      </c>
      <c r="I133" s="365">
        <v>1</v>
      </c>
      <c r="J133" s="365">
        <v>1</v>
      </c>
      <c r="K133" s="365">
        <v>1</v>
      </c>
      <c r="L133" s="365">
        <v>0.9829</v>
      </c>
      <c r="M133" s="365">
        <v>0.8</v>
      </c>
      <c r="N133" s="365">
        <v>0.5</v>
      </c>
      <c r="O133" s="365">
        <v>0</v>
      </c>
      <c r="P133" s="365">
        <v>1</v>
      </c>
      <c r="Q133" s="366">
        <v>0.86829999999999996</v>
      </c>
      <c r="R133" s="367">
        <v>0</v>
      </c>
      <c r="S133" s="366">
        <v>0.86829999999999996</v>
      </c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8" x14ac:dyDescent="0.3">
      <c r="A134" s="1"/>
      <c r="B134" s="364">
        <v>8</v>
      </c>
      <c r="C134" s="68">
        <v>130</v>
      </c>
      <c r="D134" s="69">
        <v>80672801</v>
      </c>
      <c r="E134" s="69" t="s">
        <v>545</v>
      </c>
      <c r="F134" s="24" t="s">
        <v>695</v>
      </c>
      <c r="G134" s="365">
        <v>1</v>
      </c>
      <c r="H134" s="365">
        <v>1</v>
      </c>
      <c r="I134" s="365">
        <v>1</v>
      </c>
      <c r="J134" s="365">
        <v>1</v>
      </c>
      <c r="K134" s="365">
        <v>1</v>
      </c>
      <c r="L134" s="365">
        <v>1</v>
      </c>
      <c r="M134" s="365">
        <v>0.8</v>
      </c>
      <c r="N134" s="365">
        <v>0.5</v>
      </c>
      <c r="O134" s="365">
        <v>0</v>
      </c>
      <c r="P134" s="365">
        <v>1</v>
      </c>
      <c r="Q134" s="366">
        <v>0.87</v>
      </c>
      <c r="R134" s="367">
        <v>0</v>
      </c>
      <c r="S134" s="366">
        <v>0.87</v>
      </c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8" x14ac:dyDescent="0.3">
      <c r="A135" s="1"/>
      <c r="B135" s="364">
        <v>1</v>
      </c>
      <c r="C135" s="68">
        <v>131</v>
      </c>
      <c r="D135" s="69">
        <v>80661161</v>
      </c>
      <c r="E135" s="69" t="s">
        <v>546</v>
      </c>
      <c r="F135" s="24" t="s">
        <v>695</v>
      </c>
      <c r="G135" s="365">
        <v>1</v>
      </c>
      <c r="H135" s="365">
        <v>0.9</v>
      </c>
      <c r="I135" s="365">
        <v>1</v>
      </c>
      <c r="J135" s="365">
        <v>1</v>
      </c>
      <c r="K135" s="365">
        <v>1</v>
      </c>
      <c r="L135" s="365">
        <v>0.98919999999999997</v>
      </c>
      <c r="M135" s="365">
        <v>0.8</v>
      </c>
      <c r="N135" s="365">
        <v>0</v>
      </c>
      <c r="O135" s="365">
        <v>0</v>
      </c>
      <c r="P135" s="365">
        <v>1</v>
      </c>
      <c r="Q135" s="366">
        <v>0.82389999999999997</v>
      </c>
      <c r="R135" s="367">
        <v>0.03</v>
      </c>
      <c r="S135" s="366">
        <v>0.79390000000000005</v>
      </c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8" x14ac:dyDescent="0.3">
      <c r="A136" s="1"/>
      <c r="B136" s="364">
        <v>2</v>
      </c>
      <c r="C136" s="68">
        <v>132</v>
      </c>
      <c r="D136" s="69">
        <v>80663993</v>
      </c>
      <c r="E136" s="69" t="s">
        <v>547</v>
      </c>
      <c r="F136" s="24" t="s">
        <v>695</v>
      </c>
      <c r="G136" s="365">
        <v>1</v>
      </c>
      <c r="H136" s="365">
        <v>1</v>
      </c>
      <c r="I136" s="365">
        <v>0.95979999999999999</v>
      </c>
      <c r="J136" s="365">
        <v>1</v>
      </c>
      <c r="K136" s="365">
        <v>1</v>
      </c>
      <c r="L136" s="365">
        <v>0.99729999999999996</v>
      </c>
      <c r="M136" s="365">
        <v>1</v>
      </c>
      <c r="N136" s="365">
        <v>1</v>
      </c>
      <c r="O136" s="365">
        <v>0</v>
      </c>
      <c r="P136" s="365">
        <v>0.5</v>
      </c>
      <c r="Q136" s="366">
        <v>0.95069999999999999</v>
      </c>
      <c r="R136" s="367">
        <v>0</v>
      </c>
      <c r="S136" s="366">
        <v>0.95069999999999999</v>
      </c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8" x14ac:dyDescent="0.3">
      <c r="A137" s="1"/>
      <c r="B137" s="364">
        <v>3</v>
      </c>
      <c r="C137" s="68">
        <v>133</v>
      </c>
      <c r="D137" s="69">
        <v>80674469</v>
      </c>
      <c r="E137" s="69" t="s">
        <v>548</v>
      </c>
      <c r="F137" s="24" t="s">
        <v>695</v>
      </c>
      <c r="G137" s="365">
        <v>1</v>
      </c>
      <c r="H137" s="365">
        <v>1</v>
      </c>
      <c r="I137" s="365">
        <v>1</v>
      </c>
      <c r="J137" s="365">
        <v>0.92949999999999999</v>
      </c>
      <c r="K137" s="365">
        <v>0</v>
      </c>
      <c r="L137" s="365">
        <v>0.99790000000000001</v>
      </c>
      <c r="M137" s="365">
        <v>1</v>
      </c>
      <c r="N137" s="365">
        <v>0.5</v>
      </c>
      <c r="O137" s="365">
        <v>0</v>
      </c>
      <c r="P137" s="365">
        <v>0.5</v>
      </c>
      <c r="Q137" s="366">
        <v>0.85770000000000002</v>
      </c>
      <c r="R137" s="367">
        <v>0</v>
      </c>
      <c r="S137" s="366">
        <v>0.85770000000000002</v>
      </c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8" x14ac:dyDescent="0.3">
      <c r="A138" s="1"/>
      <c r="B138" s="364">
        <v>4</v>
      </c>
      <c r="C138" s="68">
        <v>134</v>
      </c>
      <c r="D138" s="69">
        <v>80670776</v>
      </c>
      <c r="E138" s="69" t="s">
        <v>211</v>
      </c>
      <c r="F138" s="24" t="s">
        <v>677</v>
      </c>
      <c r="G138" s="365">
        <v>0.98</v>
      </c>
      <c r="H138" s="365">
        <v>1</v>
      </c>
      <c r="I138" s="365">
        <v>0.99219999999999997</v>
      </c>
      <c r="J138" s="365">
        <v>0.97299999999999998</v>
      </c>
      <c r="K138" s="365">
        <v>1</v>
      </c>
      <c r="L138" s="365">
        <v>1</v>
      </c>
      <c r="M138" s="365">
        <v>1</v>
      </c>
      <c r="N138" s="365">
        <v>1</v>
      </c>
      <c r="O138" s="365">
        <v>0</v>
      </c>
      <c r="P138" s="365">
        <v>1</v>
      </c>
      <c r="Q138" s="366">
        <v>0.97450000000000003</v>
      </c>
      <c r="R138" s="367">
        <v>0</v>
      </c>
      <c r="S138" s="366">
        <v>0.97450000000000003</v>
      </c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8" x14ac:dyDescent="0.3">
      <c r="A139" s="1"/>
      <c r="B139" s="364">
        <v>5</v>
      </c>
      <c r="C139" s="68">
        <v>135</v>
      </c>
      <c r="D139" s="69">
        <v>80671816</v>
      </c>
      <c r="E139" s="69" t="s">
        <v>212</v>
      </c>
      <c r="F139" s="24" t="s">
        <v>677</v>
      </c>
      <c r="G139" s="365">
        <v>1</v>
      </c>
      <c r="H139" s="365">
        <v>1</v>
      </c>
      <c r="I139" s="365">
        <v>1</v>
      </c>
      <c r="J139" s="365">
        <v>0.98740000000000006</v>
      </c>
      <c r="K139" s="365">
        <v>1</v>
      </c>
      <c r="L139" s="365">
        <v>0.98850000000000005</v>
      </c>
      <c r="M139" s="365">
        <v>1</v>
      </c>
      <c r="N139" s="365">
        <v>1</v>
      </c>
      <c r="O139" s="365">
        <v>0</v>
      </c>
      <c r="P139" s="365">
        <v>1</v>
      </c>
      <c r="Q139" s="366">
        <v>0.97760000000000002</v>
      </c>
      <c r="R139" s="367">
        <v>0</v>
      </c>
      <c r="S139" s="366">
        <v>0.97760000000000002</v>
      </c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8" x14ac:dyDescent="0.3">
      <c r="A140" s="1"/>
      <c r="B140" s="364">
        <v>6</v>
      </c>
      <c r="C140" s="68">
        <v>136</v>
      </c>
      <c r="D140" s="69">
        <v>80661218</v>
      </c>
      <c r="E140" s="69" t="s">
        <v>213</v>
      </c>
      <c r="F140" s="24" t="s">
        <v>677</v>
      </c>
      <c r="G140" s="365">
        <v>1</v>
      </c>
      <c r="H140" s="365">
        <v>1</v>
      </c>
      <c r="I140" s="365">
        <v>1</v>
      </c>
      <c r="J140" s="365">
        <v>1</v>
      </c>
      <c r="K140" s="365">
        <v>1</v>
      </c>
      <c r="L140" s="365">
        <v>1</v>
      </c>
      <c r="M140" s="365">
        <v>1</v>
      </c>
      <c r="N140" s="365">
        <v>0.5</v>
      </c>
      <c r="O140" s="365">
        <v>0</v>
      </c>
      <c r="P140" s="365">
        <v>0.5</v>
      </c>
      <c r="Q140" s="366">
        <v>0.91500000000000004</v>
      </c>
      <c r="R140" s="367">
        <v>0</v>
      </c>
      <c r="S140" s="366">
        <v>0.91500000000000004</v>
      </c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8" x14ac:dyDescent="0.3">
      <c r="A141" s="1"/>
      <c r="B141" s="364">
        <v>7</v>
      </c>
      <c r="C141" s="68">
        <v>137</v>
      </c>
      <c r="D141" s="69">
        <v>80672170</v>
      </c>
      <c r="E141" s="69" t="s">
        <v>214</v>
      </c>
      <c r="F141" s="24" t="s">
        <v>677</v>
      </c>
      <c r="G141" s="365">
        <v>0.98</v>
      </c>
      <c r="H141" s="365">
        <v>1</v>
      </c>
      <c r="I141" s="365">
        <v>1</v>
      </c>
      <c r="J141" s="365">
        <v>1</v>
      </c>
      <c r="K141" s="365">
        <v>1</v>
      </c>
      <c r="L141" s="365">
        <v>1</v>
      </c>
      <c r="M141" s="365">
        <v>1</v>
      </c>
      <c r="N141" s="365">
        <v>1</v>
      </c>
      <c r="O141" s="365">
        <v>0</v>
      </c>
      <c r="P141" s="365">
        <v>1</v>
      </c>
      <c r="Q141" s="366">
        <v>0.97799999999999998</v>
      </c>
      <c r="R141" s="367">
        <v>0</v>
      </c>
      <c r="S141" s="366">
        <v>0.97799999999999998</v>
      </c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8" x14ac:dyDescent="0.3">
      <c r="A142" s="1"/>
      <c r="B142" s="364">
        <v>1</v>
      </c>
      <c r="C142" s="68">
        <v>138</v>
      </c>
      <c r="D142" s="69">
        <v>80667635</v>
      </c>
      <c r="E142" s="69" t="s">
        <v>215</v>
      </c>
      <c r="F142" s="24" t="s">
        <v>677</v>
      </c>
      <c r="G142" s="365">
        <v>1</v>
      </c>
      <c r="H142" s="365">
        <v>1</v>
      </c>
      <c r="I142" s="365">
        <v>1</v>
      </c>
      <c r="J142" s="365">
        <v>1</v>
      </c>
      <c r="K142" s="365">
        <v>1</v>
      </c>
      <c r="L142" s="365">
        <v>0.98509999999999998</v>
      </c>
      <c r="M142" s="365">
        <v>0.8</v>
      </c>
      <c r="N142" s="365">
        <v>0</v>
      </c>
      <c r="O142" s="365">
        <v>0</v>
      </c>
      <c r="P142" s="365">
        <v>1</v>
      </c>
      <c r="Q142" s="366">
        <v>0.82850000000000001</v>
      </c>
      <c r="R142" s="367">
        <v>0</v>
      </c>
      <c r="S142" s="366">
        <v>0.82850000000000001</v>
      </c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8" x14ac:dyDescent="0.3">
      <c r="A143" s="1"/>
      <c r="B143" s="364">
        <v>2</v>
      </c>
      <c r="C143" s="68">
        <v>139</v>
      </c>
      <c r="D143" s="69">
        <v>80666408</v>
      </c>
      <c r="E143" s="69" t="s">
        <v>216</v>
      </c>
      <c r="F143" s="24" t="s">
        <v>677</v>
      </c>
      <c r="G143" s="365">
        <v>1</v>
      </c>
      <c r="H143" s="365">
        <v>1</v>
      </c>
      <c r="I143" s="365">
        <v>1</v>
      </c>
      <c r="J143" s="365">
        <v>1</v>
      </c>
      <c r="K143" s="365">
        <v>1</v>
      </c>
      <c r="L143" s="365">
        <v>0.94520000000000004</v>
      </c>
      <c r="M143" s="365">
        <v>1</v>
      </c>
      <c r="N143" s="365">
        <v>1</v>
      </c>
      <c r="O143" s="365">
        <v>0</v>
      </c>
      <c r="P143" s="365">
        <v>0.75</v>
      </c>
      <c r="Q143" s="366">
        <v>0.96199999999999997</v>
      </c>
      <c r="R143" s="367">
        <v>0</v>
      </c>
      <c r="S143" s="366">
        <v>0.96199999999999997</v>
      </c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8" x14ac:dyDescent="0.3">
      <c r="A144" s="1"/>
      <c r="B144" s="364">
        <v>4</v>
      </c>
      <c r="C144" s="68">
        <v>140</v>
      </c>
      <c r="D144" s="69">
        <v>80662042</v>
      </c>
      <c r="E144" s="69" t="s">
        <v>433</v>
      </c>
      <c r="F144" s="24" t="s">
        <v>700</v>
      </c>
      <c r="G144" s="365">
        <v>1</v>
      </c>
      <c r="H144" s="365">
        <v>1</v>
      </c>
      <c r="I144" s="365">
        <v>1</v>
      </c>
      <c r="J144" s="365">
        <v>1</v>
      </c>
      <c r="K144" s="365">
        <v>1</v>
      </c>
      <c r="L144" s="365">
        <v>0.97560000000000002</v>
      </c>
      <c r="M144" s="365">
        <v>0.8</v>
      </c>
      <c r="N144" s="365">
        <v>0.5</v>
      </c>
      <c r="O144" s="365">
        <v>0</v>
      </c>
      <c r="P144" s="365">
        <v>1</v>
      </c>
      <c r="Q144" s="366">
        <v>0.86760000000000004</v>
      </c>
      <c r="R144" s="367">
        <v>0</v>
      </c>
      <c r="S144" s="366">
        <v>0.86760000000000004</v>
      </c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8" x14ac:dyDescent="0.3">
      <c r="A145" s="1"/>
      <c r="B145" s="364">
        <v>5</v>
      </c>
      <c r="C145" s="68">
        <v>141</v>
      </c>
      <c r="D145" s="69">
        <v>80668041</v>
      </c>
      <c r="E145" s="69" t="s">
        <v>434</v>
      </c>
      <c r="F145" s="24" t="s">
        <v>700</v>
      </c>
      <c r="G145" s="365">
        <v>1</v>
      </c>
      <c r="H145" s="365">
        <v>1</v>
      </c>
      <c r="I145" s="365">
        <v>1</v>
      </c>
      <c r="J145" s="365">
        <v>0.96260000000000001</v>
      </c>
      <c r="K145" s="365">
        <v>1</v>
      </c>
      <c r="L145" s="365">
        <v>0.95</v>
      </c>
      <c r="M145" s="365">
        <v>0.8</v>
      </c>
      <c r="N145" s="365">
        <v>0</v>
      </c>
      <c r="O145" s="365">
        <v>0</v>
      </c>
      <c r="P145" s="365">
        <v>0.5</v>
      </c>
      <c r="Q145" s="366">
        <v>0.79630000000000001</v>
      </c>
      <c r="R145" s="367">
        <v>0</v>
      </c>
      <c r="S145" s="366">
        <v>0.79630000000000001</v>
      </c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8" x14ac:dyDescent="0.3">
      <c r="A146" s="1"/>
      <c r="B146" s="364">
        <v>6</v>
      </c>
      <c r="C146" s="68">
        <v>142</v>
      </c>
      <c r="D146" s="69">
        <v>80665328</v>
      </c>
      <c r="E146" s="69" t="s">
        <v>435</v>
      </c>
      <c r="F146" s="24" t="s">
        <v>700</v>
      </c>
      <c r="G146" s="365">
        <v>0.98</v>
      </c>
      <c r="H146" s="365">
        <v>1</v>
      </c>
      <c r="I146" s="365">
        <v>1</v>
      </c>
      <c r="J146" s="365">
        <v>1</v>
      </c>
      <c r="K146" s="365">
        <v>1</v>
      </c>
      <c r="L146" s="365">
        <v>0.99229999999999996</v>
      </c>
      <c r="M146" s="365">
        <v>1</v>
      </c>
      <c r="N146" s="365">
        <v>0.5</v>
      </c>
      <c r="O146" s="365">
        <v>0</v>
      </c>
      <c r="P146" s="365">
        <v>0.5</v>
      </c>
      <c r="Q146" s="366">
        <v>0.91220000000000001</v>
      </c>
      <c r="R146" s="367">
        <v>0</v>
      </c>
      <c r="S146" s="366">
        <v>0.91220000000000001</v>
      </c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8" x14ac:dyDescent="0.3">
      <c r="A147" s="1"/>
      <c r="B147" s="364">
        <v>7</v>
      </c>
      <c r="C147" s="68">
        <v>143</v>
      </c>
      <c r="D147" s="69">
        <v>80673611</v>
      </c>
      <c r="E147" s="69" t="s">
        <v>436</v>
      </c>
      <c r="F147" s="24" t="s">
        <v>700</v>
      </c>
      <c r="G147" s="365">
        <v>0.9</v>
      </c>
      <c r="H147" s="365">
        <v>0.99</v>
      </c>
      <c r="I147" s="365">
        <v>0.89570000000000005</v>
      </c>
      <c r="J147" s="365">
        <v>0.83930000000000005</v>
      </c>
      <c r="K147" s="365">
        <v>0</v>
      </c>
      <c r="L147" s="365">
        <v>1</v>
      </c>
      <c r="M147" s="365">
        <v>1</v>
      </c>
      <c r="N147" s="365">
        <v>1</v>
      </c>
      <c r="O147" s="365">
        <v>0</v>
      </c>
      <c r="P147" s="365">
        <v>1</v>
      </c>
      <c r="Q147" s="366">
        <v>0.89300000000000002</v>
      </c>
      <c r="R147" s="367">
        <v>0</v>
      </c>
      <c r="S147" s="366">
        <v>0.89300000000000002</v>
      </c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8" x14ac:dyDescent="0.3">
      <c r="A148" s="1"/>
      <c r="B148" s="364">
        <v>1</v>
      </c>
      <c r="C148" s="68">
        <v>144</v>
      </c>
      <c r="D148" s="69">
        <v>80665317</v>
      </c>
      <c r="E148" s="69" t="s">
        <v>437</v>
      </c>
      <c r="F148" s="24" t="s">
        <v>700</v>
      </c>
      <c r="G148" s="365">
        <v>1</v>
      </c>
      <c r="H148" s="365">
        <v>1</v>
      </c>
      <c r="I148" s="365">
        <v>1</v>
      </c>
      <c r="J148" s="365">
        <v>0.97970000000000002</v>
      </c>
      <c r="K148" s="365">
        <v>1</v>
      </c>
      <c r="L148" s="365">
        <v>0.94630000000000003</v>
      </c>
      <c r="M148" s="365">
        <v>0.8</v>
      </c>
      <c r="N148" s="365">
        <v>0</v>
      </c>
      <c r="O148" s="365">
        <v>0</v>
      </c>
      <c r="P148" s="365">
        <v>0.5</v>
      </c>
      <c r="Q148" s="366">
        <v>0.79759999999999998</v>
      </c>
      <c r="R148" s="367">
        <v>0</v>
      </c>
      <c r="S148" s="366">
        <v>0.79759999999999998</v>
      </c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8" x14ac:dyDescent="0.3">
      <c r="A149" s="1"/>
      <c r="B149" s="364">
        <v>2</v>
      </c>
      <c r="C149" s="68">
        <v>145</v>
      </c>
      <c r="D149" s="69">
        <v>80673104</v>
      </c>
      <c r="E149" s="69" t="s">
        <v>438</v>
      </c>
      <c r="F149" s="24" t="s">
        <v>700</v>
      </c>
      <c r="G149" s="365">
        <v>1</v>
      </c>
      <c r="H149" s="365">
        <v>0.99</v>
      </c>
      <c r="I149" s="365">
        <v>1</v>
      </c>
      <c r="J149" s="365">
        <v>0.79579999999999995</v>
      </c>
      <c r="K149" s="365">
        <v>0</v>
      </c>
      <c r="L149" s="365">
        <v>0.9889</v>
      </c>
      <c r="M149" s="365">
        <v>1</v>
      </c>
      <c r="N149" s="365">
        <v>0.5</v>
      </c>
      <c r="O149" s="365">
        <v>0</v>
      </c>
      <c r="P149" s="365">
        <v>1</v>
      </c>
      <c r="Q149" s="366">
        <v>0.86799999999999999</v>
      </c>
      <c r="R149" s="367">
        <v>0</v>
      </c>
      <c r="S149" s="366">
        <v>0.86799999999999999</v>
      </c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8" x14ac:dyDescent="0.3">
      <c r="A150" s="1"/>
      <c r="B150" s="364">
        <v>3</v>
      </c>
      <c r="C150" s="68">
        <v>146</v>
      </c>
      <c r="D150" s="69">
        <v>80668530</v>
      </c>
      <c r="E150" s="69" t="s">
        <v>320</v>
      </c>
      <c r="F150" s="24" t="s">
        <v>676</v>
      </c>
      <c r="G150" s="365">
        <v>1</v>
      </c>
      <c r="H150" s="365">
        <v>1</v>
      </c>
      <c r="I150" s="365">
        <v>1</v>
      </c>
      <c r="J150" s="365">
        <v>1</v>
      </c>
      <c r="K150" s="365">
        <v>1</v>
      </c>
      <c r="L150" s="365">
        <v>0.98470000000000002</v>
      </c>
      <c r="M150" s="365">
        <v>1</v>
      </c>
      <c r="N150" s="365">
        <v>1</v>
      </c>
      <c r="O150" s="365">
        <v>0</v>
      </c>
      <c r="P150" s="365">
        <v>1</v>
      </c>
      <c r="Q150" s="366">
        <v>0.97850000000000004</v>
      </c>
      <c r="R150" s="367">
        <v>0</v>
      </c>
      <c r="S150" s="366">
        <v>0.97850000000000004</v>
      </c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8" x14ac:dyDescent="0.3">
      <c r="A151" s="1"/>
      <c r="B151" s="364">
        <v>4</v>
      </c>
      <c r="C151" s="68">
        <v>147</v>
      </c>
      <c r="D151" s="69">
        <v>80658687</v>
      </c>
      <c r="E151" s="69" t="s">
        <v>321</v>
      </c>
      <c r="F151" s="24" t="s">
        <v>676</v>
      </c>
      <c r="G151" s="365">
        <v>0.98</v>
      </c>
      <c r="H151" s="365">
        <v>1</v>
      </c>
      <c r="I151" s="365">
        <v>1</v>
      </c>
      <c r="J151" s="365">
        <v>1</v>
      </c>
      <c r="K151" s="365">
        <v>1</v>
      </c>
      <c r="L151" s="365">
        <v>0.98080000000000001</v>
      </c>
      <c r="M151" s="365">
        <v>1</v>
      </c>
      <c r="N151" s="365">
        <v>0.5</v>
      </c>
      <c r="O151" s="365">
        <v>1</v>
      </c>
      <c r="P151" s="365">
        <v>1</v>
      </c>
      <c r="Q151" s="366">
        <v>0.95609999999999995</v>
      </c>
      <c r="R151" s="367">
        <v>0</v>
      </c>
      <c r="S151" s="366">
        <v>0.95609999999999995</v>
      </c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8" x14ac:dyDescent="0.3">
      <c r="A152" s="1"/>
      <c r="B152" s="364">
        <v>5</v>
      </c>
      <c r="C152" s="68">
        <v>148</v>
      </c>
      <c r="D152" s="69">
        <v>80669272</v>
      </c>
      <c r="E152" s="69" t="s">
        <v>322</v>
      </c>
      <c r="F152" s="24" t="s">
        <v>676</v>
      </c>
      <c r="G152" s="365">
        <v>0.98</v>
      </c>
      <c r="H152" s="365">
        <v>1</v>
      </c>
      <c r="I152" s="365">
        <v>1</v>
      </c>
      <c r="J152" s="365">
        <v>1</v>
      </c>
      <c r="K152" s="365">
        <v>1</v>
      </c>
      <c r="L152" s="365">
        <v>0.99260000000000004</v>
      </c>
      <c r="M152" s="365">
        <v>1</v>
      </c>
      <c r="N152" s="365">
        <v>1</v>
      </c>
      <c r="O152" s="365">
        <v>0</v>
      </c>
      <c r="P152" s="365">
        <v>0.5</v>
      </c>
      <c r="Q152" s="366">
        <v>0.95230000000000004</v>
      </c>
      <c r="R152" s="367">
        <v>0</v>
      </c>
      <c r="S152" s="366">
        <v>0.95230000000000004</v>
      </c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8" x14ac:dyDescent="0.3">
      <c r="A153" s="1"/>
      <c r="B153" s="364">
        <v>6</v>
      </c>
      <c r="C153" s="68">
        <v>149</v>
      </c>
      <c r="D153" s="69">
        <v>80664682</v>
      </c>
      <c r="E153" s="69" t="s">
        <v>323</v>
      </c>
      <c r="F153" s="24" t="s">
        <v>676</v>
      </c>
      <c r="G153" s="365">
        <v>1</v>
      </c>
      <c r="H153" s="365">
        <v>1</v>
      </c>
      <c r="I153" s="365">
        <v>1</v>
      </c>
      <c r="J153" s="365">
        <v>1</v>
      </c>
      <c r="K153" s="365">
        <v>1</v>
      </c>
      <c r="L153" s="365">
        <v>1</v>
      </c>
      <c r="M153" s="365">
        <v>1</v>
      </c>
      <c r="N153" s="365">
        <v>0.5</v>
      </c>
      <c r="O153" s="365">
        <v>0</v>
      </c>
      <c r="P153" s="365">
        <v>0.5</v>
      </c>
      <c r="Q153" s="366">
        <v>0.91500000000000004</v>
      </c>
      <c r="R153" s="367">
        <v>0</v>
      </c>
      <c r="S153" s="366">
        <v>0.91500000000000004</v>
      </c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8" x14ac:dyDescent="0.3">
      <c r="A154" s="1"/>
      <c r="B154" s="364">
        <v>7</v>
      </c>
      <c r="C154" s="68">
        <v>150</v>
      </c>
      <c r="D154" s="69">
        <v>80673123</v>
      </c>
      <c r="E154" s="69" t="s">
        <v>324</v>
      </c>
      <c r="F154" s="24" t="s">
        <v>676</v>
      </c>
      <c r="G154" s="365">
        <v>1</v>
      </c>
      <c r="H154" s="365">
        <v>1</v>
      </c>
      <c r="I154" s="365">
        <v>1</v>
      </c>
      <c r="J154" s="365">
        <v>0.95020000000000004</v>
      </c>
      <c r="K154" s="365">
        <v>1</v>
      </c>
      <c r="L154" s="365">
        <v>1</v>
      </c>
      <c r="M154" s="365">
        <v>1</v>
      </c>
      <c r="N154" s="365">
        <v>0.5</v>
      </c>
      <c r="O154" s="365">
        <v>1</v>
      </c>
      <c r="P154" s="365">
        <v>1</v>
      </c>
      <c r="Q154" s="366">
        <v>0.95499999999999996</v>
      </c>
      <c r="R154" s="367">
        <v>0</v>
      </c>
      <c r="S154" s="366">
        <v>0.95499999999999996</v>
      </c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8" x14ac:dyDescent="0.3">
      <c r="A155" s="1"/>
      <c r="B155" s="364">
        <v>1</v>
      </c>
      <c r="C155" s="68">
        <v>151</v>
      </c>
      <c r="D155" s="69">
        <v>80663628</v>
      </c>
      <c r="E155" s="69" t="s">
        <v>427</v>
      </c>
      <c r="F155" s="24" t="s">
        <v>644</v>
      </c>
      <c r="G155" s="365">
        <v>1</v>
      </c>
      <c r="H155" s="365">
        <v>1</v>
      </c>
      <c r="I155" s="365">
        <v>1</v>
      </c>
      <c r="J155" s="365">
        <v>1</v>
      </c>
      <c r="K155" s="365">
        <v>1</v>
      </c>
      <c r="L155" s="365">
        <v>0.99739999999999995</v>
      </c>
      <c r="M155" s="365">
        <v>0.8</v>
      </c>
      <c r="N155" s="365">
        <v>0.5</v>
      </c>
      <c r="O155" s="365">
        <v>0</v>
      </c>
      <c r="P155" s="365">
        <v>0.75</v>
      </c>
      <c r="Q155" s="366">
        <v>0.85719999999999996</v>
      </c>
      <c r="R155" s="367">
        <v>0</v>
      </c>
      <c r="S155" s="366">
        <v>0.85719999999999996</v>
      </c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8" x14ac:dyDescent="0.3">
      <c r="A156" s="1"/>
      <c r="B156" s="364">
        <v>2</v>
      </c>
      <c r="C156" s="68">
        <v>152</v>
      </c>
      <c r="D156" s="69">
        <v>80673106</v>
      </c>
      <c r="E156" s="69" t="s">
        <v>428</v>
      </c>
      <c r="F156" s="24" t="s">
        <v>644</v>
      </c>
      <c r="G156" s="365">
        <v>0.98</v>
      </c>
      <c r="H156" s="365">
        <v>1</v>
      </c>
      <c r="I156" s="365">
        <v>0.98160000000000003</v>
      </c>
      <c r="J156" s="365">
        <v>0.97070000000000001</v>
      </c>
      <c r="K156" s="365">
        <v>1</v>
      </c>
      <c r="L156" s="365">
        <v>0.99399999999999999</v>
      </c>
      <c r="M156" s="365">
        <v>1</v>
      </c>
      <c r="N156" s="365">
        <v>1</v>
      </c>
      <c r="O156" s="365">
        <v>0</v>
      </c>
      <c r="P156" s="365">
        <v>0.5</v>
      </c>
      <c r="Q156" s="366">
        <v>0.9476</v>
      </c>
      <c r="R156" s="367">
        <v>0</v>
      </c>
      <c r="S156" s="366">
        <v>0.9476</v>
      </c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8" x14ac:dyDescent="0.3">
      <c r="A157" s="1"/>
      <c r="B157" s="364">
        <v>3</v>
      </c>
      <c r="C157" s="68">
        <v>153</v>
      </c>
      <c r="D157" s="69">
        <v>80672806</v>
      </c>
      <c r="E157" s="69" t="s">
        <v>429</v>
      </c>
      <c r="F157" s="24" t="s">
        <v>644</v>
      </c>
      <c r="G157" s="365">
        <v>1</v>
      </c>
      <c r="H157" s="365">
        <v>1</v>
      </c>
      <c r="I157" s="365">
        <v>1</v>
      </c>
      <c r="J157" s="365">
        <v>1</v>
      </c>
      <c r="K157" s="365">
        <v>1</v>
      </c>
      <c r="L157" s="365">
        <v>0.96150000000000002</v>
      </c>
      <c r="M157" s="365">
        <v>1</v>
      </c>
      <c r="N157" s="365">
        <v>1</v>
      </c>
      <c r="O157" s="365">
        <v>1</v>
      </c>
      <c r="P157" s="365">
        <v>1</v>
      </c>
      <c r="Q157" s="366">
        <v>0.99609999999999999</v>
      </c>
      <c r="R157" s="367">
        <v>0</v>
      </c>
      <c r="S157" s="366">
        <v>0.99609999999999999</v>
      </c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8" x14ac:dyDescent="0.3">
      <c r="A158" s="1"/>
      <c r="B158" s="364">
        <v>4</v>
      </c>
      <c r="C158" s="68">
        <v>154</v>
      </c>
      <c r="D158" s="69">
        <v>80672650</v>
      </c>
      <c r="E158" s="69" t="s">
        <v>430</v>
      </c>
      <c r="F158" s="24" t="s">
        <v>644</v>
      </c>
      <c r="G158" s="365">
        <v>1</v>
      </c>
      <c r="H158" s="365">
        <v>1</v>
      </c>
      <c r="I158" s="365">
        <v>1</v>
      </c>
      <c r="J158" s="365">
        <v>1</v>
      </c>
      <c r="K158" s="365">
        <v>1</v>
      </c>
      <c r="L158" s="365">
        <v>1</v>
      </c>
      <c r="M158" s="365">
        <v>1</v>
      </c>
      <c r="N158" s="365">
        <v>1</v>
      </c>
      <c r="O158" s="365">
        <v>0</v>
      </c>
      <c r="P158" s="365">
        <v>1</v>
      </c>
      <c r="Q158" s="366">
        <v>0.98</v>
      </c>
      <c r="R158" s="367">
        <v>0</v>
      </c>
      <c r="S158" s="366">
        <v>0.98</v>
      </c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8" x14ac:dyDescent="0.3">
      <c r="A159" s="1"/>
      <c r="B159" s="364">
        <v>5</v>
      </c>
      <c r="C159" s="68">
        <v>155</v>
      </c>
      <c r="D159" s="69">
        <v>80669275</v>
      </c>
      <c r="E159" s="69" t="s">
        <v>431</v>
      </c>
      <c r="F159" s="24" t="s">
        <v>644</v>
      </c>
      <c r="G159" s="365">
        <v>1</v>
      </c>
      <c r="H159" s="365">
        <v>1</v>
      </c>
      <c r="I159" s="365">
        <v>1</v>
      </c>
      <c r="J159" s="365">
        <v>1</v>
      </c>
      <c r="K159" s="365">
        <v>1</v>
      </c>
      <c r="L159" s="365">
        <v>0.98609999999999998</v>
      </c>
      <c r="M159" s="365">
        <v>0.8</v>
      </c>
      <c r="N159" s="365">
        <v>1</v>
      </c>
      <c r="O159" s="365">
        <v>0</v>
      </c>
      <c r="P159" s="365">
        <v>1</v>
      </c>
      <c r="Q159" s="366">
        <v>0.90859999999999996</v>
      </c>
      <c r="R159" s="367">
        <v>0</v>
      </c>
      <c r="S159" s="366">
        <v>0.90859999999999996</v>
      </c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8" x14ac:dyDescent="0.3">
      <c r="A160" s="1"/>
      <c r="B160" s="364">
        <v>6</v>
      </c>
      <c r="C160" s="68">
        <v>156</v>
      </c>
      <c r="D160" s="69">
        <v>80660891</v>
      </c>
      <c r="E160" s="69" t="s">
        <v>192</v>
      </c>
      <c r="F160" s="24" t="s">
        <v>688</v>
      </c>
      <c r="G160" s="365">
        <v>1</v>
      </c>
      <c r="H160" s="365">
        <v>1</v>
      </c>
      <c r="I160" s="365">
        <v>1</v>
      </c>
      <c r="J160" s="365">
        <v>1</v>
      </c>
      <c r="K160" s="365">
        <v>1</v>
      </c>
      <c r="L160" s="365">
        <v>1</v>
      </c>
      <c r="M160" s="365">
        <v>1</v>
      </c>
      <c r="N160" s="365">
        <v>0.5</v>
      </c>
      <c r="O160" s="365">
        <v>1</v>
      </c>
      <c r="P160" s="365">
        <v>1</v>
      </c>
      <c r="Q160" s="366">
        <v>0.96</v>
      </c>
      <c r="R160" s="367">
        <v>0</v>
      </c>
      <c r="S160" s="366">
        <v>0.96</v>
      </c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8" x14ac:dyDescent="0.3">
      <c r="A161" s="1"/>
      <c r="B161" s="364">
        <v>7</v>
      </c>
      <c r="C161" s="68">
        <v>157</v>
      </c>
      <c r="D161" s="69">
        <v>80668925</v>
      </c>
      <c r="E161" s="69" t="s">
        <v>193</v>
      </c>
      <c r="F161" s="24" t="s">
        <v>688</v>
      </c>
      <c r="G161" s="365">
        <v>0.96</v>
      </c>
      <c r="H161" s="365">
        <v>1</v>
      </c>
      <c r="I161" s="365">
        <v>1</v>
      </c>
      <c r="J161" s="365">
        <v>1</v>
      </c>
      <c r="K161" s="365">
        <v>1</v>
      </c>
      <c r="L161" s="365">
        <v>1</v>
      </c>
      <c r="M161" s="365">
        <v>1</v>
      </c>
      <c r="N161" s="365">
        <v>1</v>
      </c>
      <c r="O161" s="365">
        <v>0</v>
      </c>
      <c r="P161" s="365">
        <v>0.5</v>
      </c>
      <c r="Q161" s="366">
        <v>0.95099999999999996</v>
      </c>
      <c r="R161" s="367">
        <v>0</v>
      </c>
      <c r="S161" s="366">
        <v>0.95099999999999996</v>
      </c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8" x14ac:dyDescent="0.3">
      <c r="A162" s="1"/>
      <c r="B162" s="364">
        <v>8</v>
      </c>
      <c r="C162" s="68">
        <v>158</v>
      </c>
      <c r="D162" s="69">
        <v>80659772</v>
      </c>
      <c r="E162" s="69" t="s">
        <v>194</v>
      </c>
      <c r="F162" s="24" t="s">
        <v>688</v>
      </c>
      <c r="G162" s="365">
        <v>0.98</v>
      </c>
      <c r="H162" s="365">
        <v>1</v>
      </c>
      <c r="I162" s="365">
        <v>1</v>
      </c>
      <c r="J162" s="365">
        <v>1</v>
      </c>
      <c r="K162" s="365">
        <v>1</v>
      </c>
      <c r="L162" s="365">
        <v>0.98429999999999995</v>
      </c>
      <c r="M162" s="365">
        <v>0.8</v>
      </c>
      <c r="N162" s="365">
        <v>0.5</v>
      </c>
      <c r="O162" s="365">
        <v>0</v>
      </c>
      <c r="P162" s="365">
        <v>1</v>
      </c>
      <c r="Q162" s="366">
        <v>0.86639999999999995</v>
      </c>
      <c r="R162" s="367">
        <v>0</v>
      </c>
      <c r="S162" s="366">
        <v>0.86639999999999995</v>
      </c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8" x14ac:dyDescent="0.3">
      <c r="A163" s="1"/>
      <c r="B163" s="364">
        <v>1</v>
      </c>
      <c r="C163" s="68">
        <v>159</v>
      </c>
      <c r="D163" s="69">
        <v>80672162</v>
      </c>
      <c r="E163" s="69" t="s">
        <v>195</v>
      </c>
      <c r="F163" s="24" t="s">
        <v>688</v>
      </c>
      <c r="G163" s="365">
        <v>1</v>
      </c>
      <c r="H163" s="365">
        <v>1</v>
      </c>
      <c r="I163" s="365">
        <v>1</v>
      </c>
      <c r="J163" s="365">
        <v>0.90229999999999999</v>
      </c>
      <c r="K163" s="365">
        <v>1</v>
      </c>
      <c r="L163" s="365">
        <v>0.99060000000000004</v>
      </c>
      <c r="M163" s="365">
        <v>0.8</v>
      </c>
      <c r="N163" s="365">
        <v>0.5</v>
      </c>
      <c r="O163" s="365">
        <v>0</v>
      </c>
      <c r="P163" s="365">
        <v>0.75</v>
      </c>
      <c r="Q163" s="366">
        <v>0.8468</v>
      </c>
      <c r="R163" s="367">
        <v>0</v>
      </c>
      <c r="S163" s="366">
        <v>0.8468</v>
      </c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8" x14ac:dyDescent="0.3">
      <c r="A164" s="1"/>
      <c r="B164" s="364">
        <v>2</v>
      </c>
      <c r="C164" s="68">
        <v>160</v>
      </c>
      <c r="D164" s="69">
        <v>80672844</v>
      </c>
      <c r="E164" s="69" t="s">
        <v>196</v>
      </c>
      <c r="F164" s="24" t="s">
        <v>688</v>
      </c>
      <c r="G164" s="365">
        <v>0.98</v>
      </c>
      <c r="H164" s="365">
        <v>1</v>
      </c>
      <c r="I164" s="365">
        <v>1</v>
      </c>
      <c r="J164" s="365">
        <v>1</v>
      </c>
      <c r="K164" s="365">
        <v>1</v>
      </c>
      <c r="L164" s="365">
        <v>1</v>
      </c>
      <c r="M164" s="365">
        <v>0.8</v>
      </c>
      <c r="N164" s="365">
        <v>0.5</v>
      </c>
      <c r="O164" s="365">
        <v>0</v>
      </c>
      <c r="P164" s="365">
        <v>1</v>
      </c>
      <c r="Q164" s="366">
        <v>0.86799999999999999</v>
      </c>
      <c r="R164" s="367">
        <v>0</v>
      </c>
      <c r="S164" s="366">
        <v>0.86799999999999999</v>
      </c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8" x14ac:dyDescent="0.3">
      <c r="A165" s="1"/>
      <c r="B165" s="364">
        <v>3</v>
      </c>
      <c r="C165" s="68">
        <v>161</v>
      </c>
      <c r="D165" s="69">
        <v>80661437</v>
      </c>
      <c r="E165" s="69" t="s">
        <v>535</v>
      </c>
      <c r="F165" s="24" t="s">
        <v>687</v>
      </c>
      <c r="G165" s="365">
        <v>1</v>
      </c>
      <c r="H165" s="365">
        <v>1</v>
      </c>
      <c r="I165" s="365">
        <v>1</v>
      </c>
      <c r="J165" s="365">
        <v>0.85270000000000001</v>
      </c>
      <c r="K165" s="365">
        <v>1</v>
      </c>
      <c r="L165" s="365">
        <v>0.97399999999999998</v>
      </c>
      <c r="M165" s="365">
        <v>0.8</v>
      </c>
      <c r="N165" s="365">
        <v>0.5</v>
      </c>
      <c r="O165" s="365">
        <v>0</v>
      </c>
      <c r="P165" s="365">
        <v>1</v>
      </c>
      <c r="Q165" s="366">
        <v>0.85270000000000001</v>
      </c>
      <c r="R165" s="367">
        <v>0</v>
      </c>
      <c r="S165" s="366">
        <v>0.85270000000000001</v>
      </c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8" x14ac:dyDescent="0.3">
      <c r="A166" s="1"/>
      <c r="B166" s="364">
        <v>4</v>
      </c>
      <c r="C166" s="68">
        <v>162</v>
      </c>
      <c r="D166" s="69">
        <v>80671867</v>
      </c>
      <c r="E166" s="69" t="s">
        <v>536</v>
      </c>
      <c r="F166" s="24" t="s">
        <v>687</v>
      </c>
      <c r="G166" s="365">
        <v>0.98</v>
      </c>
      <c r="H166" s="365">
        <v>1</v>
      </c>
      <c r="I166" s="365">
        <v>1</v>
      </c>
      <c r="J166" s="365">
        <v>1</v>
      </c>
      <c r="K166" s="365">
        <v>1</v>
      </c>
      <c r="L166" s="365">
        <v>0.99770000000000003</v>
      </c>
      <c r="M166" s="365">
        <v>0.8</v>
      </c>
      <c r="N166" s="365">
        <v>0.5</v>
      </c>
      <c r="O166" s="365">
        <v>1</v>
      </c>
      <c r="P166" s="365">
        <v>1</v>
      </c>
      <c r="Q166" s="366">
        <v>0.88780000000000003</v>
      </c>
      <c r="R166" s="367">
        <v>0</v>
      </c>
      <c r="S166" s="366">
        <v>0.88780000000000003</v>
      </c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8" x14ac:dyDescent="0.3">
      <c r="A167" s="1"/>
      <c r="B167" s="364">
        <v>5</v>
      </c>
      <c r="C167" s="68">
        <v>163</v>
      </c>
      <c r="D167" s="69">
        <v>80671831</v>
      </c>
      <c r="E167" s="69" t="s">
        <v>537</v>
      </c>
      <c r="F167" s="24" t="s">
        <v>687</v>
      </c>
      <c r="G167" s="365">
        <v>0.96</v>
      </c>
      <c r="H167" s="365">
        <v>0.99</v>
      </c>
      <c r="I167" s="365">
        <v>1</v>
      </c>
      <c r="J167" s="365">
        <v>0.99209999999999998</v>
      </c>
      <c r="K167" s="365">
        <v>1</v>
      </c>
      <c r="L167" s="365">
        <v>1</v>
      </c>
      <c r="M167" s="365">
        <v>1</v>
      </c>
      <c r="N167" s="365">
        <v>1</v>
      </c>
      <c r="O167" s="365">
        <v>0</v>
      </c>
      <c r="P167" s="365">
        <v>0.75</v>
      </c>
      <c r="Q167" s="366">
        <v>0.96220000000000006</v>
      </c>
      <c r="R167" s="367">
        <v>0</v>
      </c>
      <c r="S167" s="366">
        <v>0.96220000000000006</v>
      </c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8" x14ac:dyDescent="0.3">
      <c r="A168" s="1"/>
      <c r="B168" s="364">
        <v>6</v>
      </c>
      <c r="C168" s="68">
        <v>164</v>
      </c>
      <c r="D168" s="69">
        <v>80670970</v>
      </c>
      <c r="E168" s="69" t="s">
        <v>538</v>
      </c>
      <c r="F168" s="24" t="s">
        <v>687</v>
      </c>
      <c r="G168" s="365">
        <v>0.96</v>
      </c>
      <c r="H168" s="365">
        <v>1</v>
      </c>
      <c r="I168" s="365">
        <v>1</v>
      </c>
      <c r="J168" s="365">
        <v>1</v>
      </c>
      <c r="K168" s="365">
        <v>1</v>
      </c>
      <c r="L168" s="365">
        <v>1</v>
      </c>
      <c r="M168" s="365">
        <v>1</v>
      </c>
      <c r="N168" s="365">
        <v>1</v>
      </c>
      <c r="O168" s="365">
        <v>0</v>
      </c>
      <c r="P168" s="365">
        <v>0.75</v>
      </c>
      <c r="Q168" s="366">
        <v>0.96350000000000002</v>
      </c>
      <c r="R168" s="367">
        <v>0</v>
      </c>
      <c r="S168" s="366">
        <v>0.96350000000000002</v>
      </c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8" x14ac:dyDescent="0.3">
      <c r="A169" s="1"/>
      <c r="B169" s="364">
        <v>7</v>
      </c>
      <c r="C169" s="68">
        <v>165</v>
      </c>
      <c r="D169" s="69">
        <v>80673593</v>
      </c>
      <c r="E169" s="69" t="s">
        <v>539</v>
      </c>
      <c r="F169" s="24" t="s">
        <v>687</v>
      </c>
      <c r="G169" s="365">
        <v>1</v>
      </c>
      <c r="H169" s="365">
        <v>1</v>
      </c>
      <c r="I169" s="365">
        <v>1</v>
      </c>
      <c r="J169" s="365">
        <v>0.98299999999999998</v>
      </c>
      <c r="K169" s="365">
        <v>1</v>
      </c>
      <c r="L169" s="365">
        <v>0.99329999999999996</v>
      </c>
      <c r="M169" s="365">
        <v>1</v>
      </c>
      <c r="N169" s="365">
        <v>0.5</v>
      </c>
      <c r="O169" s="365">
        <v>0</v>
      </c>
      <c r="P169" s="365">
        <v>1</v>
      </c>
      <c r="Q169" s="366">
        <v>0.93759999999999999</v>
      </c>
      <c r="R169" s="367">
        <v>0</v>
      </c>
      <c r="S169" s="366">
        <v>0.93759999999999999</v>
      </c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8" x14ac:dyDescent="0.3">
      <c r="A170" s="1"/>
      <c r="B170" s="364">
        <v>1</v>
      </c>
      <c r="C170" s="68">
        <v>166</v>
      </c>
      <c r="D170" s="69">
        <v>80662047</v>
      </c>
      <c r="E170" s="69" t="s">
        <v>540</v>
      </c>
      <c r="F170" s="24" t="s">
        <v>687</v>
      </c>
      <c r="G170" s="365">
        <v>1</v>
      </c>
      <c r="H170" s="365">
        <v>1</v>
      </c>
      <c r="I170" s="365">
        <v>1</v>
      </c>
      <c r="J170" s="365">
        <v>1</v>
      </c>
      <c r="K170" s="365">
        <v>1</v>
      </c>
      <c r="L170" s="365">
        <v>1</v>
      </c>
      <c r="M170" s="365">
        <v>1</v>
      </c>
      <c r="N170" s="365">
        <v>0.5</v>
      </c>
      <c r="O170" s="365">
        <v>1</v>
      </c>
      <c r="P170" s="365">
        <v>1</v>
      </c>
      <c r="Q170" s="366">
        <v>0.96</v>
      </c>
      <c r="R170" s="367">
        <v>0</v>
      </c>
      <c r="S170" s="366">
        <v>0.96</v>
      </c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8" x14ac:dyDescent="0.3">
      <c r="A171" s="1"/>
      <c r="B171" s="364">
        <v>2</v>
      </c>
      <c r="C171" s="68">
        <v>167</v>
      </c>
      <c r="D171" s="69">
        <v>80663637</v>
      </c>
      <c r="E171" s="69" t="s">
        <v>415</v>
      </c>
      <c r="F171" s="24" t="s">
        <v>647</v>
      </c>
      <c r="G171" s="365">
        <v>1</v>
      </c>
      <c r="H171" s="365">
        <v>1</v>
      </c>
      <c r="I171" s="365">
        <v>1</v>
      </c>
      <c r="J171" s="365">
        <v>1</v>
      </c>
      <c r="K171" s="365">
        <v>1</v>
      </c>
      <c r="L171" s="365">
        <v>1</v>
      </c>
      <c r="M171" s="365">
        <v>1</v>
      </c>
      <c r="N171" s="365">
        <v>1</v>
      </c>
      <c r="O171" s="365">
        <v>0</v>
      </c>
      <c r="P171" s="365">
        <v>1</v>
      </c>
      <c r="Q171" s="366">
        <v>0.98</v>
      </c>
      <c r="R171" s="367">
        <v>0</v>
      </c>
      <c r="S171" s="366">
        <v>0.98</v>
      </c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8" x14ac:dyDescent="0.3">
      <c r="A172" s="1"/>
      <c r="B172" s="364">
        <v>3</v>
      </c>
      <c r="C172" s="68">
        <v>168</v>
      </c>
      <c r="D172" s="69">
        <v>80669283</v>
      </c>
      <c r="E172" s="69" t="s">
        <v>416</v>
      </c>
      <c r="F172" s="24" t="s">
        <v>647</v>
      </c>
      <c r="G172" s="365">
        <v>1</v>
      </c>
      <c r="H172" s="365">
        <v>1</v>
      </c>
      <c r="I172" s="365">
        <v>1</v>
      </c>
      <c r="J172" s="365">
        <v>1</v>
      </c>
      <c r="K172" s="365">
        <v>1</v>
      </c>
      <c r="L172" s="365">
        <v>1</v>
      </c>
      <c r="M172" s="365">
        <v>1</v>
      </c>
      <c r="N172" s="365">
        <v>1</v>
      </c>
      <c r="O172" s="365">
        <v>0</v>
      </c>
      <c r="P172" s="365">
        <v>1</v>
      </c>
      <c r="Q172" s="366">
        <v>0.98</v>
      </c>
      <c r="R172" s="367">
        <v>0</v>
      </c>
      <c r="S172" s="366">
        <v>0.98</v>
      </c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8" x14ac:dyDescent="0.3">
      <c r="A173" s="1"/>
      <c r="B173" s="364">
        <v>4</v>
      </c>
      <c r="C173" s="68">
        <v>169</v>
      </c>
      <c r="D173" s="69">
        <v>80667642</v>
      </c>
      <c r="E173" s="69" t="s">
        <v>417</v>
      </c>
      <c r="F173" s="24" t="s">
        <v>647</v>
      </c>
      <c r="G173" s="365">
        <v>0.98</v>
      </c>
      <c r="H173" s="365">
        <v>1</v>
      </c>
      <c r="I173" s="365">
        <v>1</v>
      </c>
      <c r="J173" s="365">
        <v>1</v>
      </c>
      <c r="K173" s="365">
        <v>1</v>
      </c>
      <c r="L173" s="365">
        <v>0.999</v>
      </c>
      <c r="M173" s="365">
        <v>1</v>
      </c>
      <c r="N173" s="365">
        <v>1</v>
      </c>
      <c r="O173" s="365">
        <v>0</v>
      </c>
      <c r="P173" s="365">
        <v>1</v>
      </c>
      <c r="Q173" s="366">
        <v>0.97789999999999999</v>
      </c>
      <c r="R173" s="367">
        <v>0</v>
      </c>
      <c r="S173" s="366">
        <v>0.97789999999999999</v>
      </c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8" x14ac:dyDescent="0.3">
      <c r="A174" s="1"/>
      <c r="B174" s="364">
        <v>5</v>
      </c>
      <c r="C174" s="68">
        <v>170</v>
      </c>
      <c r="D174" s="69">
        <v>80673612</v>
      </c>
      <c r="E174" s="69" t="s">
        <v>418</v>
      </c>
      <c r="F174" s="24" t="s">
        <v>647</v>
      </c>
      <c r="G174" s="365">
        <v>0.98</v>
      </c>
      <c r="H174" s="365">
        <v>1</v>
      </c>
      <c r="I174" s="365">
        <v>1</v>
      </c>
      <c r="J174" s="365">
        <v>1</v>
      </c>
      <c r="K174" s="365">
        <v>1</v>
      </c>
      <c r="L174" s="365">
        <v>1</v>
      </c>
      <c r="M174" s="365">
        <v>1</v>
      </c>
      <c r="N174" s="365">
        <v>1</v>
      </c>
      <c r="O174" s="365">
        <v>0</v>
      </c>
      <c r="P174" s="365">
        <v>1</v>
      </c>
      <c r="Q174" s="366">
        <v>0.97799999999999998</v>
      </c>
      <c r="R174" s="367">
        <v>0</v>
      </c>
      <c r="S174" s="366">
        <v>0.97799999999999998</v>
      </c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8" x14ac:dyDescent="0.3">
      <c r="A175" s="1"/>
      <c r="B175" s="364">
        <v>6</v>
      </c>
      <c r="C175" s="68">
        <v>171</v>
      </c>
      <c r="D175" s="69">
        <v>80673103</v>
      </c>
      <c r="E175" s="69" t="s">
        <v>419</v>
      </c>
      <c r="F175" s="24" t="s">
        <v>647</v>
      </c>
      <c r="G175" s="365">
        <v>1</v>
      </c>
      <c r="H175" s="365">
        <v>1</v>
      </c>
      <c r="I175" s="365">
        <v>1</v>
      </c>
      <c r="J175" s="365">
        <v>1</v>
      </c>
      <c r="K175" s="365">
        <v>1</v>
      </c>
      <c r="L175" s="365">
        <v>0.98819999999999997</v>
      </c>
      <c r="M175" s="365">
        <v>0.8</v>
      </c>
      <c r="N175" s="365">
        <v>1</v>
      </c>
      <c r="O175" s="365">
        <v>0</v>
      </c>
      <c r="P175" s="365">
        <v>1</v>
      </c>
      <c r="Q175" s="366">
        <v>0.90880000000000005</v>
      </c>
      <c r="R175" s="367">
        <v>0.01</v>
      </c>
      <c r="S175" s="366">
        <v>0.89880000000000004</v>
      </c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8" x14ac:dyDescent="0.3">
      <c r="A176" s="1"/>
      <c r="B176" s="364">
        <v>7</v>
      </c>
      <c r="C176" s="68">
        <v>172</v>
      </c>
      <c r="D176" s="69">
        <v>80664543</v>
      </c>
      <c r="E176" s="69" t="s">
        <v>250</v>
      </c>
      <c r="F176" s="24" t="s">
        <v>636</v>
      </c>
      <c r="G176" s="365">
        <v>1</v>
      </c>
      <c r="H176" s="365">
        <v>1</v>
      </c>
      <c r="I176" s="365">
        <v>1</v>
      </c>
      <c r="J176" s="365">
        <v>1</v>
      </c>
      <c r="K176" s="365">
        <v>1</v>
      </c>
      <c r="L176" s="365">
        <v>1</v>
      </c>
      <c r="M176" s="365">
        <v>1</v>
      </c>
      <c r="N176" s="365">
        <v>1</v>
      </c>
      <c r="O176" s="365">
        <v>0</v>
      </c>
      <c r="P176" s="365">
        <v>1</v>
      </c>
      <c r="Q176" s="366">
        <v>0.98</v>
      </c>
      <c r="R176" s="367">
        <v>0</v>
      </c>
      <c r="S176" s="366">
        <v>0.98</v>
      </c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" x14ac:dyDescent="0.3">
      <c r="A177" s="1"/>
      <c r="B177" s="364">
        <v>1</v>
      </c>
      <c r="C177" s="68">
        <v>173</v>
      </c>
      <c r="D177" s="69">
        <v>80666865</v>
      </c>
      <c r="E177" s="69" t="s">
        <v>251</v>
      </c>
      <c r="F177" s="24" t="s">
        <v>636</v>
      </c>
      <c r="G177" s="365">
        <v>1</v>
      </c>
      <c r="H177" s="365">
        <v>1</v>
      </c>
      <c r="I177" s="365">
        <v>1</v>
      </c>
      <c r="J177" s="365">
        <v>0.96879999999999999</v>
      </c>
      <c r="K177" s="365">
        <v>1</v>
      </c>
      <c r="L177" s="365">
        <v>1</v>
      </c>
      <c r="M177" s="365">
        <v>1</v>
      </c>
      <c r="N177" s="365">
        <v>1</v>
      </c>
      <c r="O177" s="365">
        <v>0</v>
      </c>
      <c r="P177" s="365">
        <v>1</v>
      </c>
      <c r="Q177" s="366">
        <v>0.97689999999999999</v>
      </c>
      <c r="R177" s="367">
        <v>0</v>
      </c>
      <c r="S177" s="366">
        <v>0.97689999999999999</v>
      </c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8" x14ac:dyDescent="0.3">
      <c r="A178" s="1"/>
      <c r="B178" s="364">
        <v>2</v>
      </c>
      <c r="C178" s="68">
        <v>174</v>
      </c>
      <c r="D178" s="69">
        <v>80665189</v>
      </c>
      <c r="E178" s="69" t="s">
        <v>252</v>
      </c>
      <c r="F178" s="24" t="s">
        <v>636</v>
      </c>
      <c r="G178" s="365">
        <v>1</v>
      </c>
      <c r="H178" s="365">
        <v>1</v>
      </c>
      <c r="I178" s="365">
        <v>1</v>
      </c>
      <c r="J178" s="365">
        <v>1</v>
      </c>
      <c r="K178" s="365">
        <v>1</v>
      </c>
      <c r="L178" s="365">
        <v>1</v>
      </c>
      <c r="M178" s="365">
        <v>1</v>
      </c>
      <c r="N178" s="365">
        <v>1</v>
      </c>
      <c r="O178" s="365">
        <v>0</v>
      </c>
      <c r="P178" s="365">
        <v>0.5</v>
      </c>
      <c r="Q178" s="366">
        <v>0.95499999999999996</v>
      </c>
      <c r="R178" s="367">
        <v>0</v>
      </c>
      <c r="S178" s="366">
        <v>0.95499999999999996</v>
      </c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8" x14ac:dyDescent="0.3">
      <c r="A179" s="1"/>
      <c r="B179" s="364">
        <v>3</v>
      </c>
      <c r="C179" s="68">
        <v>175</v>
      </c>
      <c r="D179" s="69">
        <v>80666862</v>
      </c>
      <c r="E179" s="69" t="s">
        <v>253</v>
      </c>
      <c r="F179" s="24" t="s">
        <v>636</v>
      </c>
      <c r="G179" s="365">
        <v>1</v>
      </c>
      <c r="H179" s="365">
        <v>1</v>
      </c>
      <c r="I179" s="365">
        <v>1</v>
      </c>
      <c r="J179" s="365">
        <v>1</v>
      </c>
      <c r="K179" s="365">
        <v>1</v>
      </c>
      <c r="L179" s="365">
        <v>0.99809999999999999</v>
      </c>
      <c r="M179" s="365">
        <v>1</v>
      </c>
      <c r="N179" s="365">
        <v>1</v>
      </c>
      <c r="O179" s="365">
        <v>0</v>
      </c>
      <c r="P179" s="365">
        <v>1</v>
      </c>
      <c r="Q179" s="366">
        <v>0.9798</v>
      </c>
      <c r="R179" s="367">
        <v>0</v>
      </c>
      <c r="S179" s="366">
        <v>0.9798</v>
      </c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8" x14ac:dyDescent="0.3">
      <c r="A180" s="1"/>
      <c r="B180" s="364">
        <v>4</v>
      </c>
      <c r="C180" s="68">
        <v>176</v>
      </c>
      <c r="D180" s="69">
        <v>80672167</v>
      </c>
      <c r="E180" s="69" t="s">
        <v>254</v>
      </c>
      <c r="F180" s="24" t="s">
        <v>636</v>
      </c>
      <c r="G180" s="365">
        <v>1</v>
      </c>
      <c r="H180" s="365">
        <v>1</v>
      </c>
      <c r="I180" s="365">
        <v>1</v>
      </c>
      <c r="J180" s="365">
        <v>1</v>
      </c>
      <c r="K180" s="365">
        <v>1</v>
      </c>
      <c r="L180" s="365">
        <v>0.99790000000000001</v>
      </c>
      <c r="M180" s="365">
        <v>1</v>
      </c>
      <c r="N180" s="365">
        <v>1</v>
      </c>
      <c r="O180" s="365">
        <v>1</v>
      </c>
      <c r="P180" s="365">
        <v>1</v>
      </c>
      <c r="Q180" s="366">
        <v>0.99980000000000002</v>
      </c>
      <c r="R180" s="367">
        <v>0</v>
      </c>
      <c r="S180" s="366">
        <v>0.99980000000000002</v>
      </c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8" x14ac:dyDescent="0.3">
      <c r="A181" s="1"/>
      <c r="B181" s="364">
        <v>5</v>
      </c>
      <c r="C181" s="68">
        <v>177</v>
      </c>
      <c r="D181" s="69">
        <v>80657852</v>
      </c>
      <c r="E181" s="69" t="s">
        <v>255</v>
      </c>
      <c r="F181" s="24" t="s">
        <v>636</v>
      </c>
      <c r="G181" s="365">
        <v>1</v>
      </c>
      <c r="H181" s="365">
        <v>1</v>
      </c>
      <c r="I181" s="365">
        <v>1</v>
      </c>
      <c r="J181" s="365">
        <v>1</v>
      </c>
      <c r="K181" s="365">
        <v>1</v>
      </c>
      <c r="L181" s="365">
        <v>0.98670000000000002</v>
      </c>
      <c r="M181" s="365">
        <v>1</v>
      </c>
      <c r="N181" s="365">
        <v>0.5</v>
      </c>
      <c r="O181" s="365">
        <v>0</v>
      </c>
      <c r="P181" s="365">
        <v>0.5</v>
      </c>
      <c r="Q181" s="366">
        <v>0.91369999999999996</v>
      </c>
      <c r="R181" s="367">
        <v>0</v>
      </c>
      <c r="S181" s="366">
        <v>0.91369999999999996</v>
      </c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8" x14ac:dyDescent="0.3">
      <c r="A182" s="1"/>
      <c r="B182" s="364">
        <v>6</v>
      </c>
      <c r="C182" s="68">
        <v>178</v>
      </c>
      <c r="D182" s="69">
        <v>80668519</v>
      </c>
      <c r="E182" s="69" t="s">
        <v>158</v>
      </c>
      <c r="F182" s="24" t="s">
        <v>626</v>
      </c>
      <c r="G182" s="365">
        <v>1</v>
      </c>
      <c r="H182" s="365">
        <v>1</v>
      </c>
      <c r="I182" s="365">
        <v>1</v>
      </c>
      <c r="J182" s="365">
        <v>1</v>
      </c>
      <c r="K182" s="365">
        <v>1</v>
      </c>
      <c r="L182" s="365">
        <v>1</v>
      </c>
      <c r="M182" s="365">
        <v>1</v>
      </c>
      <c r="N182" s="365">
        <v>1</v>
      </c>
      <c r="O182" s="365">
        <v>0</v>
      </c>
      <c r="P182" s="365">
        <v>1</v>
      </c>
      <c r="Q182" s="366">
        <v>0.98</v>
      </c>
      <c r="R182" s="367">
        <v>0</v>
      </c>
      <c r="S182" s="366">
        <v>0.98</v>
      </c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8" x14ac:dyDescent="0.3">
      <c r="A183" s="1"/>
      <c r="B183" s="364">
        <v>7</v>
      </c>
      <c r="C183" s="68">
        <v>179</v>
      </c>
      <c r="D183" s="69">
        <v>80664671</v>
      </c>
      <c r="E183" s="69" t="s">
        <v>159</v>
      </c>
      <c r="F183" s="24" t="s">
        <v>626</v>
      </c>
      <c r="G183" s="365">
        <v>1</v>
      </c>
      <c r="H183" s="365">
        <v>1</v>
      </c>
      <c r="I183" s="365">
        <v>1</v>
      </c>
      <c r="J183" s="365">
        <v>0.99360000000000004</v>
      </c>
      <c r="K183" s="365">
        <v>1</v>
      </c>
      <c r="L183" s="365">
        <v>0.99790000000000001</v>
      </c>
      <c r="M183" s="365">
        <v>1</v>
      </c>
      <c r="N183" s="365">
        <v>0</v>
      </c>
      <c r="O183" s="365">
        <v>0</v>
      </c>
      <c r="P183" s="365">
        <v>1</v>
      </c>
      <c r="Q183" s="366">
        <v>0.8992</v>
      </c>
      <c r="R183" s="367">
        <v>0</v>
      </c>
      <c r="S183" s="366">
        <v>0.8992</v>
      </c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8" x14ac:dyDescent="0.3">
      <c r="A184" s="1"/>
      <c r="B184" s="364">
        <v>1</v>
      </c>
      <c r="C184" s="68">
        <v>180</v>
      </c>
      <c r="D184" s="69">
        <v>80673112</v>
      </c>
      <c r="E184" s="69" t="s">
        <v>160</v>
      </c>
      <c r="F184" s="24" t="s">
        <v>626</v>
      </c>
      <c r="G184" s="365">
        <v>1</v>
      </c>
      <c r="H184" s="365">
        <v>1</v>
      </c>
      <c r="I184" s="365">
        <v>1</v>
      </c>
      <c r="J184" s="365">
        <v>1</v>
      </c>
      <c r="K184" s="365">
        <v>1</v>
      </c>
      <c r="L184" s="365">
        <v>1</v>
      </c>
      <c r="M184" s="365">
        <v>1</v>
      </c>
      <c r="N184" s="365">
        <v>1</v>
      </c>
      <c r="O184" s="365">
        <v>1</v>
      </c>
      <c r="P184" s="365">
        <v>1</v>
      </c>
      <c r="Q184" s="366">
        <v>1</v>
      </c>
      <c r="R184" s="367">
        <v>0</v>
      </c>
      <c r="S184" s="366">
        <v>1</v>
      </c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8" x14ac:dyDescent="0.3">
      <c r="A185" s="1"/>
      <c r="B185" s="364">
        <v>2</v>
      </c>
      <c r="C185" s="68">
        <v>181</v>
      </c>
      <c r="D185" s="69">
        <v>80659035</v>
      </c>
      <c r="E185" s="69" t="s">
        <v>161</v>
      </c>
      <c r="F185" s="24" t="s">
        <v>626</v>
      </c>
      <c r="G185" s="365">
        <v>1</v>
      </c>
      <c r="H185" s="365">
        <v>1</v>
      </c>
      <c r="I185" s="365">
        <v>1</v>
      </c>
      <c r="J185" s="365">
        <v>1</v>
      </c>
      <c r="K185" s="365">
        <v>1</v>
      </c>
      <c r="L185" s="365">
        <v>0.98550000000000004</v>
      </c>
      <c r="M185" s="365">
        <v>0.8</v>
      </c>
      <c r="N185" s="365">
        <v>1</v>
      </c>
      <c r="O185" s="365">
        <v>0</v>
      </c>
      <c r="P185" s="365">
        <v>0.5</v>
      </c>
      <c r="Q185" s="366">
        <v>0.88360000000000005</v>
      </c>
      <c r="R185" s="367">
        <v>0</v>
      </c>
      <c r="S185" s="366">
        <v>0.88360000000000005</v>
      </c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8" x14ac:dyDescent="0.3">
      <c r="A186" s="1"/>
      <c r="B186" s="364">
        <v>4</v>
      </c>
      <c r="C186" s="68">
        <v>182</v>
      </c>
      <c r="D186" s="69">
        <v>80672859</v>
      </c>
      <c r="E186" s="69" t="s">
        <v>162</v>
      </c>
      <c r="F186" s="24" t="s">
        <v>626</v>
      </c>
      <c r="G186" s="365">
        <v>1</v>
      </c>
      <c r="H186" s="365">
        <v>1</v>
      </c>
      <c r="I186" s="365">
        <v>1</v>
      </c>
      <c r="J186" s="365">
        <v>1</v>
      </c>
      <c r="K186" s="365">
        <v>1</v>
      </c>
      <c r="L186" s="365">
        <v>0.99180000000000001</v>
      </c>
      <c r="M186" s="365">
        <v>0.8</v>
      </c>
      <c r="N186" s="365">
        <v>1</v>
      </c>
      <c r="O186" s="365">
        <v>0</v>
      </c>
      <c r="P186" s="365">
        <v>1</v>
      </c>
      <c r="Q186" s="366">
        <v>0.90920000000000001</v>
      </c>
      <c r="R186" s="367">
        <v>0</v>
      </c>
      <c r="S186" s="366">
        <v>0.90920000000000001</v>
      </c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8" x14ac:dyDescent="0.3">
      <c r="A187" s="1"/>
      <c r="B187" s="364">
        <v>5</v>
      </c>
      <c r="C187" s="68">
        <v>183</v>
      </c>
      <c r="D187" s="69">
        <v>80659184</v>
      </c>
      <c r="E187" s="69" t="s">
        <v>56</v>
      </c>
      <c r="F187" s="24" t="s">
        <v>679</v>
      </c>
      <c r="G187" s="365">
        <v>1</v>
      </c>
      <c r="H187" s="365">
        <v>0.96</v>
      </c>
      <c r="I187" s="365">
        <v>1</v>
      </c>
      <c r="J187" s="365">
        <v>1</v>
      </c>
      <c r="K187" s="365">
        <v>1</v>
      </c>
      <c r="L187" s="365">
        <v>0.98309999999999997</v>
      </c>
      <c r="M187" s="365">
        <v>1</v>
      </c>
      <c r="N187" s="365">
        <v>1</v>
      </c>
      <c r="O187" s="365">
        <v>0</v>
      </c>
      <c r="P187" s="365">
        <v>1</v>
      </c>
      <c r="Q187" s="366">
        <v>0.97629999999999995</v>
      </c>
      <c r="R187" s="367">
        <v>0</v>
      </c>
      <c r="S187" s="366">
        <v>0.97629999999999995</v>
      </c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8" x14ac:dyDescent="0.3">
      <c r="A188" s="1"/>
      <c r="B188" s="364">
        <v>6</v>
      </c>
      <c r="C188" s="68">
        <v>184</v>
      </c>
      <c r="D188" s="69">
        <v>80661233</v>
      </c>
      <c r="E188" s="69" t="s">
        <v>57</v>
      </c>
      <c r="F188" s="24" t="s">
        <v>679</v>
      </c>
      <c r="G188" s="365">
        <v>1</v>
      </c>
      <c r="H188" s="365">
        <v>1</v>
      </c>
      <c r="I188" s="365">
        <v>1</v>
      </c>
      <c r="J188" s="365">
        <v>1</v>
      </c>
      <c r="K188" s="365">
        <v>1</v>
      </c>
      <c r="L188" s="365">
        <v>0.98619999999999997</v>
      </c>
      <c r="M188" s="365">
        <v>0.8</v>
      </c>
      <c r="N188" s="365">
        <v>0.5</v>
      </c>
      <c r="O188" s="365">
        <v>1</v>
      </c>
      <c r="P188" s="365">
        <v>0.5</v>
      </c>
      <c r="Q188" s="366">
        <v>0.86360000000000003</v>
      </c>
      <c r="R188" s="367">
        <v>0</v>
      </c>
      <c r="S188" s="366">
        <v>0.86360000000000003</v>
      </c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8" x14ac:dyDescent="0.3">
      <c r="A189" s="1"/>
      <c r="B189" s="364">
        <v>7</v>
      </c>
      <c r="C189" s="68">
        <v>185</v>
      </c>
      <c r="D189" s="69">
        <v>80657853</v>
      </c>
      <c r="E189" s="69" t="s">
        <v>58</v>
      </c>
      <c r="F189" s="24" t="s">
        <v>679</v>
      </c>
      <c r="G189" s="365">
        <v>1</v>
      </c>
      <c r="H189" s="365">
        <v>0.98</v>
      </c>
      <c r="I189" s="365">
        <v>1</v>
      </c>
      <c r="J189" s="365">
        <v>1</v>
      </c>
      <c r="K189" s="365">
        <v>1</v>
      </c>
      <c r="L189" s="365">
        <v>1</v>
      </c>
      <c r="M189" s="365">
        <v>1</v>
      </c>
      <c r="N189" s="365">
        <v>0.5</v>
      </c>
      <c r="O189" s="365">
        <v>0</v>
      </c>
      <c r="P189" s="365">
        <v>1</v>
      </c>
      <c r="Q189" s="366">
        <v>0.93899999999999995</v>
      </c>
      <c r="R189" s="367">
        <v>0</v>
      </c>
      <c r="S189" s="366">
        <v>0.93899999999999995</v>
      </c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8" x14ac:dyDescent="0.3">
      <c r="A190" s="1"/>
      <c r="B190" s="364">
        <v>8</v>
      </c>
      <c r="C190" s="68">
        <v>186</v>
      </c>
      <c r="D190" s="69">
        <v>80671156</v>
      </c>
      <c r="E190" s="69" t="s">
        <v>59</v>
      </c>
      <c r="F190" s="24" t="s">
        <v>679</v>
      </c>
      <c r="G190" s="365">
        <v>1</v>
      </c>
      <c r="H190" s="365">
        <v>1</v>
      </c>
      <c r="I190" s="365">
        <v>1</v>
      </c>
      <c r="J190" s="365">
        <v>0.84619999999999995</v>
      </c>
      <c r="K190" s="365">
        <v>0</v>
      </c>
      <c r="L190" s="365">
        <v>0.99909999999999999</v>
      </c>
      <c r="M190" s="365">
        <v>1</v>
      </c>
      <c r="N190" s="365">
        <v>0.5</v>
      </c>
      <c r="O190" s="365">
        <v>0</v>
      </c>
      <c r="P190" s="365">
        <v>0.75</v>
      </c>
      <c r="Q190" s="366">
        <v>0.86199999999999999</v>
      </c>
      <c r="R190" s="367">
        <v>0</v>
      </c>
      <c r="S190" s="366">
        <v>0.86199999999999999</v>
      </c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8" x14ac:dyDescent="0.3">
      <c r="A191" s="1"/>
      <c r="B191" s="364">
        <v>1</v>
      </c>
      <c r="C191" s="68">
        <v>187</v>
      </c>
      <c r="D191" s="69">
        <v>80674454</v>
      </c>
      <c r="E191" s="69" t="s">
        <v>60</v>
      </c>
      <c r="F191" s="24" t="s">
        <v>679</v>
      </c>
      <c r="G191" s="365">
        <v>1</v>
      </c>
      <c r="H191" s="365">
        <v>1</v>
      </c>
      <c r="I191" s="365">
        <v>1</v>
      </c>
      <c r="J191" s="365">
        <v>0.94930000000000003</v>
      </c>
      <c r="K191" s="365">
        <v>0</v>
      </c>
      <c r="L191" s="365">
        <v>0.98729999999999996</v>
      </c>
      <c r="M191" s="365">
        <v>0.8</v>
      </c>
      <c r="N191" s="365">
        <v>0.5</v>
      </c>
      <c r="O191" s="365">
        <v>0</v>
      </c>
      <c r="P191" s="365">
        <v>1</v>
      </c>
      <c r="Q191" s="366">
        <v>0.81369999999999998</v>
      </c>
      <c r="R191" s="367">
        <v>0</v>
      </c>
      <c r="S191" s="366">
        <v>0.81369999999999998</v>
      </c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8" x14ac:dyDescent="0.3">
      <c r="A192" s="1"/>
      <c r="B192" s="364">
        <v>2</v>
      </c>
      <c r="C192" s="68">
        <v>188</v>
      </c>
      <c r="D192" s="69">
        <v>80667201</v>
      </c>
      <c r="E192" s="69" t="s">
        <v>61</v>
      </c>
      <c r="F192" s="24" t="s">
        <v>679</v>
      </c>
      <c r="G192" s="365">
        <v>1</v>
      </c>
      <c r="H192" s="365">
        <v>1</v>
      </c>
      <c r="I192" s="365">
        <v>1</v>
      </c>
      <c r="J192" s="365">
        <v>0.95540000000000003</v>
      </c>
      <c r="K192" s="365">
        <v>1</v>
      </c>
      <c r="L192" s="365">
        <v>1</v>
      </c>
      <c r="M192" s="365">
        <v>1</v>
      </c>
      <c r="N192" s="365">
        <v>0.5</v>
      </c>
      <c r="O192" s="365">
        <v>0</v>
      </c>
      <c r="P192" s="365">
        <v>0.5</v>
      </c>
      <c r="Q192" s="366">
        <v>0.91049999999999998</v>
      </c>
      <c r="R192" s="367">
        <v>0</v>
      </c>
      <c r="S192" s="366">
        <v>0.91049999999999998</v>
      </c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8" x14ac:dyDescent="0.3">
      <c r="A193" s="1"/>
      <c r="B193" s="364">
        <v>3</v>
      </c>
      <c r="C193" s="68">
        <v>189</v>
      </c>
      <c r="D193" s="69">
        <v>80661200</v>
      </c>
      <c r="E193" s="69" t="s">
        <v>594</v>
      </c>
      <c r="F193" s="24" t="s">
        <v>701</v>
      </c>
      <c r="G193" s="365">
        <v>0.98</v>
      </c>
      <c r="H193" s="365">
        <v>1</v>
      </c>
      <c r="I193" s="365">
        <v>1</v>
      </c>
      <c r="J193" s="365">
        <v>1</v>
      </c>
      <c r="K193" s="365">
        <v>1</v>
      </c>
      <c r="L193" s="365">
        <v>1</v>
      </c>
      <c r="M193" s="365">
        <v>0.8</v>
      </c>
      <c r="N193" s="365">
        <v>1</v>
      </c>
      <c r="O193" s="365">
        <v>1</v>
      </c>
      <c r="P193" s="365">
        <v>0.5</v>
      </c>
      <c r="Q193" s="366">
        <v>0.90300000000000002</v>
      </c>
      <c r="R193" s="367">
        <v>0</v>
      </c>
      <c r="S193" s="366">
        <v>0.90300000000000002</v>
      </c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8" x14ac:dyDescent="0.3">
      <c r="A194" s="1"/>
      <c r="B194" s="364">
        <v>4</v>
      </c>
      <c r="C194" s="68">
        <v>190</v>
      </c>
      <c r="D194" s="69">
        <v>80672173</v>
      </c>
      <c r="E194" s="69" t="s">
        <v>595</v>
      </c>
      <c r="F194" s="24" t="s">
        <v>701</v>
      </c>
      <c r="G194" s="365">
        <v>0.98</v>
      </c>
      <c r="H194" s="365">
        <v>1</v>
      </c>
      <c r="I194" s="365">
        <v>1</v>
      </c>
      <c r="J194" s="365">
        <v>0.8337</v>
      </c>
      <c r="K194" s="365">
        <v>0</v>
      </c>
      <c r="L194" s="365">
        <v>0.99580000000000002</v>
      </c>
      <c r="M194" s="365">
        <v>0.8</v>
      </c>
      <c r="N194" s="365">
        <v>1</v>
      </c>
      <c r="O194" s="365">
        <v>0</v>
      </c>
      <c r="P194" s="365">
        <v>0.75</v>
      </c>
      <c r="Q194" s="366">
        <v>0.82850000000000001</v>
      </c>
      <c r="R194" s="367">
        <v>0</v>
      </c>
      <c r="S194" s="366">
        <v>0.82850000000000001</v>
      </c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8" x14ac:dyDescent="0.3">
      <c r="A195" s="1"/>
      <c r="B195" s="364">
        <v>5</v>
      </c>
      <c r="C195" s="68">
        <v>191</v>
      </c>
      <c r="D195" s="69">
        <v>80665332</v>
      </c>
      <c r="E195" s="69" t="s">
        <v>596</v>
      </c>
      <c r="F195" s="24" t="s">
        <v>701</v>
      </c>
      <c r="G195" s="365">
        <v>0.98</v>
      </c>
      <c r="H195" s="365">
        <v>0.98</v>
      </c>
      <c r="I195" s="365">
        <v>1</v>
      </c>
      <c r="J195" s="365">
        <v>1</v>
      </c>
      <c r="K195" s="365">
        <v>1</v>
      </c>
      <c r="L195" s="365">
        <v>0.98140000000000005</v>
      </c>
      <c r="M195" s="365">
        <v>0.8</v>
      </c>
      <c r="N195" s="365">
        <v>0.5</v>
      </c>
      <c r="O195" s="365">
        <v>0</v>
      </c>
      <c r="P195" s="365">
        <v>0.5</v>
      </c>
      <c r="Q195" s="366">
        <v>0.84009999999999996</v>
      </c>
      <c r="R195" s="367">
        <v>0</v>
      </c>
      <c r="S195" s="366">
        <v>0.84009999999999996</v>
      </c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8" x14ac:dyDescent="0.3">
      <c r="A196" s="1"/>
      <c r="B196" s="364">
        <v>6</v>
      </c>
      <c r="C196" s="68">
        <v>192</v>
      </c>
      <c r="D196" s="69">
        <v>80669286</v>
      </c>
      <c r="E196" s="69" t="s">
        <v>597</v>
      </c>
      <c r="F196" s="24" t="s">
        <v>701</v>
      </c>
      <c r="G196" s="365">
        <v>0.98</v>
      </c>
      <c r="H196" s="365">
        <v>0.99</v>
      </c>
      <c r="I196" s="365">
        <v>0.99750000000000005</v>
      </c>
      <c r="J196" s="365">
        <v>1</v>
      </c>
      <c r="K196" s="365">
        <v>1</v>
      </c>
      <c r="L196" s="365">
        <v>0.99529999999999996</v>
      </c>
      <c r="M196" s="365">
        <v>0.8</v>
      </c>
      <c r="N196" s="365">
        <v>0.5</v>
      </c>
      <c r="O196" s="365">
        <v>0</v>
      </c>
      <c r="P196" s="365">
        <v>0.75</v>
      </c>
      <c r="Q196" s="366">
        <v>0.85429999999999995</v>
      </c>
      <c r="R196" s="367">
        <v>0</v>
      </c>
      <c r="S196" s="366">
        <v>0.85429999999999995</v>
      </c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8" x14ac:dyDescent="0.3">
      <c r="A197" s="1"/>
      <c r="B197" s="364">
        <v>7</v>
      </c>
      <c r="C197" s="68">
        <v>193</v>
      </c>
      <c r="D197" s="69">
        <v>80674473</v>
      </c>
      <c r="E197" s="69" t="s">
        <v>598</v>
      </c>
      <c r="F197" s="24" t="s">
        <v>701</v>
      </c>
      <c r="G197" s="365">
        <v>1</v>
      </c>
      <c r="H197" s="365">
        <v>1</v>
      </c>
      <c r="I197" s="365">
        <v>0.99319999999999997</v>
      </c>
      <c r="J197" s="365">
        <v>1</v>
      </c>
      <c r="K197" s="365">
        <v>1</v>
      </c>
      <c r="L197" s="365">
        <v>0.99329999999999996</v>
      </c>
      <c r="M197" s="365">
        <v>0.8</v>
      </c>
      <c r="N197" s="365">
        <v>1</v>
      </c>
      <c r="O197" s="365">
        <v>0</v>
      </c>
      <c r="P197" s="365">
        <v>1</v>
      </c>
      <c r="Q197" s="366">
        <v>0.90869999999999995</v>
      </c>
      <c r="R197" s="367">
        <v>0</v>
      </c>
      <c r="S197" s="366">
        <v>0.90869999999999995</v>
      </c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8" x14ac:dyDescent="0.3">
      <c r="A198" s="1"/>
      <c r="B198" s="364">
        <v>1</v>
      </c>
      <c r="C198" s="68">
        <v>194</v>
      </c>
      <c r="D198" s="69">
        <v>80660874</v>
      </c>
      <c r="E198" s="69" t="s">
        <v>383</v>
      </c>
      <c r="F198" s="24" t="s">
        <v>660</v>
      </c>
      <c r="G198" s="365">
        <v>1</v>
      </c>
      <c r="H198" s="365">
        <v>0.99</v>
      </c>
      <c r="I198" s="365">
        <v>1</v>
      </c>
      <c r="J198" s="365">
        <v>1</v>
      </c>
      <c r="K198" s="365">
        <v>1</v>
      </c>
      <c r="L198" s="365">
        <v>0.99439999999999995</v>
      </c>
      <c r="M198" s="365">
        <v>1</v>
      </c>
      <c r="N198" s="365">
        <v>0.5</v>
      </c>
      <c r="O198" s="365">
        <v>0</v>
      </c>
      <c r="P198" s="365">
        <v>0.5</v>
      </c>
      <c r="Q198" s="366">
        <v>0.91390000000000005</v>
      </c>
      <c r="R198" s="367">
        <v>0</v>
      </c>
      <c r="S198" s="366">
        <v>0.91390000000000005</v>
      </c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8" x14ac:dyDescent="0.3">
      <c r="A199" s="1"/>
      <c r="B199" s="364">
        <v>2</v>
      </c>
      <c r="C199" s="68">
        <v>195</v>
      </c>
      <c r="D199" s="69">
        <v>80669281</v>
      </c>
      <c r="E199" s="69" t="s">
        <v>384</v>
      </c>
      <c r="F199" s="24" t="s">
        <v>660</v>
      </c>
      <c r="G199" s="365">
        <v>1</v>
      </c>
      <c r="H199" s="365">
        <v>1</v>
      </c>
      <c r="I199" s="365">
        <v>1</v>
      </c>
      <c r="J199" s="365">
        <v>1</v>
      </c>
      <c r="K199" s="365">
        <v>1</v>
      </c>
      <c r="L199" s="365">
        <v>0.99629999999999996</v>
      </c>
      <c r="M199" s="365">
        <v>0.8</v>
      </c>
      <c r="N199" s="365">
        <v>1</v>
      </c>
      <c r="O199" s="365">
        <v>0</v>
      </c>
      <c r="P199" s="365">
        <v>1</v>
      </c>
      <c r="Q199" s="366">
        <v>0.90959999999999996</v>
      </c>
      <c r="R199" s="367">
        <v>0</v>
      </c>
      <c r="S199" s="366">
        <v>0.90959999999999996</v>
      </c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8" x14ac:dyDescent="0.3">
      <c r="A200" s="1"/>
      <c r="B200" s="364">
        <v>3</v>
      </c>
      <c r="C200" s="68">
        <v>196</v>
      </c>
      <c r="D200" s="69">
        <v>80668526</v>
      </c>
      <c r="E200" s="69" t="s">
        <v>385</v>
      </c>
      <c r="F200" s="24" t="s">
        <v>660</v>
      </c>
      <c r="G200" s="365">
        <v>1</v>
      </c>
      <c r="H200" s="365">
        <v>1</v>
      </c>
      <c r="I200" s="365">
        <v>1</v>
      </c>
      <c r="J200" s="365">
        <v>1</v>
      </c>
      <c r="K200" s="365">
        <v>1</v>
      </c>
      <c r="L200" s="365">
        <v>1</v>
      </c>
      <c r="M200" s="365">
        <v>1</v>
      </c>
      <c r="N200" s="365">
        <v>1</v>
      </c>
      <c r="O200" s="365">
        <v>0</v>
      </c>
      <c r="P200" s="365">
        <v>1</v>
      </c>
      <c r="Q200" s="366">
        <v>0.98</v>
      </c>
      <c r="R200" s="367">
        <v>0</v>
      </c>
      <c r="S200" s="366">
        <v>0.98</v>
      </c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8" x14ac:dyDescent="0.3">
      <c r="A201" s="1"/>
      <c r="B201" s="364">
        <v>4</v>
      </c>
      <c r="C201" s="68">
        <v>197</v>
      </c>
      <c r="D201" s="69">
        <v>80665169</v>
      </c>
      <c r="E201" s="69" t="s">
        <v>386</v>
      </c>
      <c r="F201" s="24" t="s">
        <v>660</v>
      </c>
      <c r="G201" s="365">
        <v>1</v>
      </c>
      <c r="H201" s="365">
        <v>1</v>
      </c>
      <c r="I201" s="365">
        <v>1</v>
      </c>
      <c r="J201" s="365">
        <v>0.97270000000000001</v>
      </c>
      <c r="K201" s="365">
        <v>1</v>
      </c>
      <c r="L201" s="365">
        <v>0.999</v>
      </c>
      <c r="M201" s="365">
        <v>0.5</v>
      </c>
      <c r="N201" s="365">
        <v>0.5</v>
      </c>
      <c r="O201" s="365">
        <v>0</v>
      </c>
      <c r="P201" s="365">
        <v>1</v>
      </c>
      <c r="Q201" s="366">
        <v>0.76219999999999999</v>
      </c>
      <c r="R201" s="367">
        <v>0</v>
      </c>
      <c r="S201" s="366">
        <v>0.76219999999999999</v>
      </c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8" x14ac:dyDescent="0.3">
      <c r="A202" s="1"/>
      <c r="B202" s="364">
        <v>5</v>
      </c>
      <c r="C202" s="68">
        <v>198</v>
      </c>
      <c r="D202" s="69">
        <v>80673637</v>
      </c>
      <c r="E202" s="69" t="s">
        <v>387</v>
      </c>
      <c r="F202" s="24" t="s">
        <v>660</v>
      </c>
      <c r="G202" s="365">
        <v>1</v>
      </c>
      <c r="H202" s="365">
        <v>1</v>
      </c>
      <c r="I202" s="365">
        <v>1</v>
      </c>
      <c r="J202" s="365">
        <v>1</v>
      </c>
      <c r="K202" s="365">
        <v>1</v>
      </c>
      <c r="L202" s="365">
        <v>1</v>
      </c>
      <c r="M202" s="365">
        <v>0.8</v>
      </c>
      <c r="N202" s="365">
        <v>1</v>
      </c>
      <c r="O202" s="365">
        <v>0</v>
      </c>
      <c r="P202" s="365">
        <v>1</v>
      </c>
      <c r="Q202" s="366">
        <v>0.91</v>
      </c>
      <c r="R202" s="367">
        <v>0</v>
      </c>
      <c r="S202" s="366">
        <v>0.91</v>
      </c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8" x14ac:dyDescent="0.3">
      <c r="A203" s="1"/>
      <c r="B203" s="364">
        <v>6</v>
      </c>
      <c r="C203" s="68">
        <v>199</v>
      </c>
      <c r="D203" s="69">
        <v>80672646</v>
      </c>
      <c r="E203" s="69" t="s">
        <v>351</v>
      </c>
      <c r="F203" s="24" t="s">
        <v>659</v>
      </c>
      <c r="G203" s="365">
        <v>0.96</v>
      </c>
      <c r="H203" s="365">
        <v>0.98</v>
      </c>
      <c r="I203" s="365">
        <v>0.97529999999999994</v>
      </c>
      <c r="J203" s="365">
        <v>1</v>
      </c>
      <c r="K203" s="365">
        <v>1</v>
      </c>
      <c r="L203" s="365">
        <v>0.99639999999999995</v>
      </c>
      <c r="M203" s="365">
        <v>1</v>
      </c>
      <c r="N203" s="365">
        <v>1</v>
      </c>
      <c r="O203" s="365">
        <v>0</v>
      </c>
      <c r="P203" s="365">
        <v>1</v>
      </c>
      <c r="Q203" s="366">
        <v>0.97219999999999995</v>
      </c>
      <c r="R203" s="367">
        <v>0</v>
      </c>
      <c r="S203" s="366">
        <v>0.97219999999999995</v>
      </c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8" x14ac:dyDescent="0.3">
      <c r="A204" s="1"/>
      <c r="B204" s="364">
        <v>7</v>
      </c>
      <c r="C204" s="68">
        <v>200</v>
      </c>
      <c r="D204" s="69">
        <v>80673125</v>
      </c>
      <c r="E204" s="69" t="s">
        <v>352</v>
      </c>
      <c r="F204" s="24" t="s">
        <v>659</v>
      </c>
      <c r="G204" s="365">
        <v>1</v>
      </c>
      <c r="H204" s="365">
        <v>1</v>
      </c>
      <c r="I204" s="365">
        <v>1</v>
      </c>
      <c r="J204" s="365">
        <v>1</v>
      </c>
      <c r="K204" s="365">
        <v>1</v>
      </c>
      <c r="L204" s="365">
        <v>1</v>
      </c>
      <c r="M204" s="365">
        <v>1</v>
      </c>
      <c r="N204" s="365">
        <v>1</v>
      </c>
      <c r="O204" s="365">
        <v>0</v>
      </c>
      <c r="P204" s="365">
        <v>1</v>
      </c>
      <c r="Q204" s="366">
        <v>0.98</v>
      </c>
      <c r="R204" s="367">
        <v>0</v>
      </c>
      <c r="S204" s="366">
        <v>0.98</v>
      </c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8" x14ac:dyDescent="0.3">
      <c r="A205" s="1"/>
      <c r="B205" s="364">
        <v>1</v>
      </c>
      <c r="C205" s="68">
        <v>201</v>
      </c>
      <c r="D205" s="69">
        <v>80669274</v>
      </c>
      <c r="E205" s="69" t="s">
        <v>353</v>
      </c>
      <c r="F205" s="24" t="s">
        <v>659</v>
      </c>
      <c r="G205" s="365">
        <v>1</v>
      </c>
      <c r="H205" s="365">
        <v>1</v>
      </c>
      <c r="I205" s="365">
        <v>1</v>
      </c>
      <c r="J205" s="365">
        <v>1</v>
      </c>
      <c r="K205" s="365">
        <v>1</v>
      </c>
      <c r="L205" s="365">
        <v>0.99590000000000001</v>
      </c>
      <c r="M205" s="365">
        <v>0.8</v>
      </c>
      <c r="N205" s="365">
        <v>1</v>
      </c>
      <c r="O205" s="365">
        <v>0</v>
      </c>
      <c r="P205" s="365">
        <v>1</v>
      </c>
      <c r="Q205" s="366">
        <v>0.90959999999999996</v>
      </c>
      <c r="R205" s="367">
        <v>0</v>
      </c>
      <c r="S205" s="366">
        <v>0.90959999999999996</v>
      </c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8" x14ac:dyDescent="0.3">
      <c r="A206" s="1"/>
      <c r="B206" s="364">
        <v>2</v>
      </c>
      <c r="C206" s="68">
        <v>202</v>
      </c>
      <c r="D206" s="69">
        <v>80671871</v>
      </c>
      <c r="E206" s="69" t="s">
        <v>354</v>
      </c>
      <c r="F206" s="24" t="s">
        <v>659</v>
      </c>
      <c r="G206" s="365">
        <v>1</v>
      </c>
      <c r="H206" s="365">
        <v>1</v>
      </c>
      <c r="I206" s="365">
        <v>1</v>
      </c>
      <c r="J206" s="365">
        <v>1</v>
      </c>
      <c r="K206" s="365">
        <v>1</v>
      </c>
      <c r="L206" s="365">
        <v>0.99380000000000002</v>
      </c>
      <c r="M206" s="365">
        <v>1</v>
      </c>
      <c r="N206" s="365">
        <v>1</v>
      </c>
      <c r="O206" s="365">
        <v>0</v>
      </c>
      <c r="P206" s="365">
        <v>1</v>
      </c>
      <c r="Q206" s="366">
        <v>0.97940000000000005</v>
      </c>
      <c r="R206" s="367">
        <v>0</v>
      </c>
      <c r="S206" s="366">
        <v>0.97940000000000005</v>
      </c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8" x14ac:dyDescent="0.3">
      <c r="A207" s="1"/>
      <c r="B207" s="364">
        <v>3</v>
      </c>
      <c r="C207" s="68">
        <v>203</v>
      </c>
      <c r="D207" s="69">
        <v>80660894</v>
      </c>
      <c r="E207" s="69" t="s">
        <v>355</v>
      </c>
      <c r="F207" s="24" t="s">
        <v>659</v>
      </c>
      <c r="G207" s="365">
        <v>0.98</v>
      </c>
      <c r="H207" s="365">
        <v>1</v>
      </c>
      <c r="I207" s="365">
        <v>1</v>
      </c>
      <c r="J207" s="365">
        <v>1</v>
      </c>
      <c r="K207" s="365">
        <v>1</v>
      </c>
      <c r="L207" s="365">
        <v>1</v>
      </c>
      <c r="M207" s="365">
        <v>1</v>
      </c>
      <c r="N207" s="365">
        <v>0</v>
      </c>
      <c r="O207" s="365">
        <v>0</v>
      </c>
      <c r="P207" s="365">
        <v>0.5</v>
      </c>
      <c r="Q207" s="366">
        <v>0.873</v>
      </c>
      <c r="R207" s="367">
        <v>0</v>
      </c>
      <c r="S207" s="366">
        <v>0.873</v>
      </c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8" x14ac:dyDescent="0.3">
      <c r="A208" s="1"/>
      <c r="B208" s="364">
        <v>4</v>
      </c>
      <c r="C208" s="68">
        <v>204</v>
      </c>
      <c r="D208" s="69">
        <v>80670978</v>
      </c>
      <c r="E208" s="69" t="s">
        <v>397</v>
      </c>
      <c r="F208" s="24" t="s">
        <v>697</v>
      </c>
      <c r="G208" s="365">
        <v>0.98</v>
      </c>
      <c r="H208" s="365">
        <v>1</v>
      </c>
      <c r="I208" s="365">
        <v>1</v>
      </c>
      <c r="J208" s="365">
        <v>1</v>
      </c>
      <c r="K208" s="365">
        <v>1</v>
      </c>
      <c r="L208" s="365">
        <v>1</v>
      </c>
      <c r="M208" s="365">
        <v>0.8</v>
      </c>
      <c r="N208" s="365">
        <v>1</v>
      </c>
      <c r="O208" s="365">
        <v>0</v>
      </c>
      <c r="P208" s="365">
        <v>1</v>
      </c>
      <c r="Q208" s="366">
        <v>0.90800000000000003</v>
      </c>
      <c r="R208" s="367">
        <v>0</v>
      </c>
      <c r="S208" s="366">
        <v>0.90800000000000003</v>
      </c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8" x14ac:dyDescent="0.3">
      <c r="A209" s="1"/>
      <c r="B209" s="364">
        <v>5</v>
      </c>
      <c r="C209" s="68">
        <v>205</v>
      </c>
      <c r="D209" s="69">
        <v>80664542</v>
      </c>
      <c r="E209" s="69" t="s">
        <v>398</v>
      </c>
      <c r="F209" s="24" t="s">
        <v>697</v>
      </c>
      <c r="G209" s="365">
        <v>1</v>
      </c>
      <c r="H209" s="365">
        <v>1</v>
      </c>
      <c r="I209" s="365">
        <v>1</v>
      </c>
      <c r="J209" s="365">
        <v>1</v>
      </c>
      <c r="K209" s="365">
        <v>1</v>
      </c>
      <c r="L209" s="365">
        <v>1</v>
      </c>
      <c r="M209" s="365">
        <v>0.8</v>
      </c>
      <c r="N209" s="365">
        <v>1</v>
      </c>
      <c r="O209" s="365">
        <v>0</v>
      </c>
      <c r="P209" s="365">
        <v>1</v>
      </c>
      <c r="Q209" s="366">
        <v>0.91</v>
      </c>
      <c r="R209" s="367">
        <v>0</v>
      </c>
      <c r="S209" s="366">
        <v>0.91</v>
      </c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8" x14ac:dyDescent="0.3">
      <c r="A210" s="1"/>
      <c r="B210" s="364">
        <v>6</v>
      </c>
      <c r="C210" s="68">
        <v>206</v>
      </c>
      <c r="D210" s="69">
        <v>80669284</v>
      </c>
      <c r="E210" s="69" t="s">
        <v>399</v>
      </c>
      <c r="F210" s="24" t="s">
        <v>697</v>
      </c>
      <c r="G210" s="365">
        <v>1</v>
      </c>
      <c r="H210" s="365">
        <v>1</v>
      </c>
      <c r="I210" s="365">
        <v>1</v>
      </c>
      <c r="J210" s="365">
        <v>0.99109999999999998</v>
      </c>
      <c r="K210" s="365">
        <v>1</v>
      </c>
      <c r="L210" s="365">
        <v>1</v>
      </c>
      <c r="M210" s="365">
        <v>1</v>
      </c>
      <c r="N210" s="365">
        <v>0.5</v>
      </c>
      <c r="O210" s="365">
        <v>0</v>
      </c>
      <c r="P210" s="365">
        <v>1</v>
      </c>
      <c r="Q210" s="366">
        <v>0.93910000000000005</v>
      </c>
      <c r="R210" s="367">
        <v>0</v>
      </c>
      <c r="S210" s="366">
        <v>0.93910000000000005</v>
      </c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8" x14ac:dyDescent="0.3">
      <c r="A211" s="1"/>
      <c r="B211" s="364">
        <v>7</v>
      </c>
      <c r="C211" s="68">
        <v>207</v>
      </c>
      <c r="D211" s="69">
        <v>80658674</v>
      </c>
      <c r="E211" s="69" t="s">
        <v>400</v>
      </c>
      <c r="F211" s="24" t="s">
        <v>697</v>
      </c>
      <c r="G211" s="365">
        <v>1</v>
      </c>
      <c r="H211" s="365">
        <v>1</v>
      </c>
      <c r="I211" s="365">
        <v>1</v>
      </c>
      <c r="J211" s="365">
        <v>1</v>
      </c>
      <c r="K211" s="365">
        <v>1</v>
      </c>
      <c r="L211" s="365">
        <v>1</v>
      </c>
      <c r="M211" s="365">
        <v>1</v>
      </c>
      <c r="N211" s="365">
        <v>0.5</v>
      </c>
      <c r="O211" s="365">
        <v>0</v>
      </c>
      <c r="P211" s="365">
        <v>1</v>
      </c>
      <c r="Q211" s="366">
        <v>0.94</v>
      </c>
      <c r="R211" s="367">
        <v>0</v>
      </c>
      <c r="S211" s="366">
        <v>0.94</v>
      </c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8" x14ac:dyDescent="0.3">
      <c r="A212" s="1"/>
      <c r="B212" s="364">
        <v>1</v>
      </c>
      <c r="C212" s="68">
        <v>208</v>
      </c>
      <c r="D212" s="69">
        <v>80673640</v>
      </c>
      <c r="E212" s="69" t="s">
        <v>401</v>
      </c>
      <c r="F212" s="24" t="s">
        <v>697</v>
      </c>
      <c r="G212" s="365">
        <v>1</v>
      </c>
      <c r="H212" s="365">
        <v>1</v>
      </c>
      <c r="I212" s="365">
        <v>1</v>
      </c>
      <c r="J212" s="365">
        <v>1</v>
      </c>
      <c r="K212" s="365">
        <v>1</v>
      </c>
      <c r="L212" s="365">
        <v>0.99790000000000001</v>
      </c>
      <c r="M212" s="365">
        <v>0.8</v>
      </c>
      <c r="N212" s="365">
        <v>1</v>
      </c>
      <c r="O212" s="365">
        <v>0</v>
      </c>
      <c r="P212" s="365">
        <v>1</v>
      </c>
      <c r="Q212" s="366">
        <v>0.90980000000000005</v>
      </c>
      <c r="R212" s="367">
        <v>0</v>
      </c>
      <c r="S212" s="366">
        <v>0.90980000000000005</v>
      </c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8" x14ac:dyDescent="0.3">
      <c r="A213" s="1"/>
      <c r="B213" s="364">
        <v>2</v>
      </c>
      <c r="C213" s="68">
        <v>209</v>
      </c>
      <c r="D213" s="69">
        <v>80666874</v>
      </c>
      <c r="E213" s="69" t="s">
        <v>486</v>
      </c>
      <c r="F213" s="24" t="s">
        <v>624</v>
      </c>
      <c r="G213" s="365">
        <v>1</v>
      </c>
      <c r="H213" s="365">
        <v>1</v>
      </c>
      <c r="I213" s="365">
        <v>1</v>
      </c>
      <c r="J213" s="365">
        <v>1</v>
      </c>
      <c r="K213" s="365">
        <v>1</v>
      </c>
      <c r="L213" s="365">
        <v>0.99399999999999999</v>
      </c>
      <c r="M213" s="365">
        <v>1</v>
      </c>
      <c r="N213" s="365">
        <v>1</v>
      </c>
      <c r="O213" s="365">
        <v>0</v>
      </c>
      <c r="P213" s="365">
        <v>1</v>
      </c>
      <c r="Q213" s="366">
        <v>0.97940000000000005</v>
      </c>
      <c r="R213" s="367">
        <v>0</v>
      </c>
      <c r="S213" s="366">
        <v>0.97940000000000005</v>
      </c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8" x14ac:dyDescent="0.3">
      <c r="A214" s="1"/>
      <c r="B214" s="364">
        <v>3</v>
      </c>
      <c r="C214" s="68">
        <v>210</v>
      </c>
      <c r="D214" s="69">
        <v>80660896</v>
      </c>
      <c r="E214" s="69" t="s">
        <v>487</v>
      </c>
      <c r="F214" s="24" t="s">
        <v>624</v>
      </c>
      <c r="G214" s="365">
        <v>1</v>
      </c>
      <c r="H214" s="365">
        <v>1</v>
      </c>
      <c r="I214" s="365">
        <v>1</v>
      </c>
      <c r="J214" s="365">
        <v>1</v>
      </c>
      <c r="K214" s="365">
        <v>1</v>
      </c>
      <c r="L214" s="365">
        <v>1</v>
      </c>
      <c r="M214" s="365">
        <v>1</v>
      </c>
      <c r="N214" s="365">
        <v>1</v>
      </c>
      <c r="O214" s="365">
        <v>1</v>
      </c>
      <c r="P214" s="365">
        <v>1</v>
      </c>
      <c r="Q214" s="366">
        <v>1</v>
      </c>
      <c r="R214" s="367">
        <v>0</v>
      </c>
      <c r="S214" s="366">
        <v>1</v>
      </c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8" x14ac:dyDescent="0.3">
      <c r="A215" s="1"/>
      <c r="B215" s="364">
        <v>4</v>
      </c>
      <c r="C215" s="68">
        <v>211</v>
      </c>
      <c r="D215" s="69">
        <v>80670979</v>
      </c>
      <c r="E215" s="69" t="s">
        <v>488</v>
      </c>
      <c r="F215" s="24" t="s">
        <v>624</v>
      </c>
      <c r="G215" s="365">
        <v>1</v>
      </c>
      <c r="H215" s="365">
        <v>1</v>
      </c>
      <c r="I215" s="365">
        <v>1</v>
      </c>
      <c r="J215" s="365">
        <v>1</v>
      </c>
      <c r="K215" s="365">
        <v>1</v>
      </c>
      <c r="L215" s="365">
        <v>1</v>
      </c>
      <c r="M215" s="365">
        <v>0.8</v>
      </c>
      <c r="N215" s="365">
        <v>1</v>
      </c>
      <c r="O215" s="365">
        <v>0</v>
      </c>
      <c r="P215" s="365">
        <v>1</v>
      </c>
      <c r="Q215" s="366">
        <v>0.91</v>
      </c>
      <c r="R215" s="367">
        <v>0</v>
      </c>
      <c r="S215" s="366">
        <v>0.91</v>
      </c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8" x14ac:dyDescent="0.3">
      <c r="A216" s="1"/>
      <c r="B216" s="364">
        <v>5</v>
      </c>
      <c r="C216" s="68">
        <v>212</v>
      </c>
      <c r="D216" s="69">
        <v>80661431</v>
      </c>
      <c r="E216" s="69" t="s">
        <v>489</v>
      </c>
      <c r="F216" s="24" t="s">
        <v>624</v>
      </c>
      <c r="G216" s="365">
        <v>1</v>
      </c>
      <c r="H216" s="365">
        <v>0.98</v>
      </c>
      <c r="I216" s="365">
        <v>1</v>
      </c>
      <c r="J216" s="365">
        <v>1</v>
      </c>
      <c r="K216" s="365">
        <v>1</v>
      </c>
      <c r="L216" s="365">
        <v>1</v>
      </c>
      <c r="M216" s="365">
        <v>1</v>
      </c>
      <c r="N216" s="365">
        <v>1</v>
      </c>
      <c r="O216" s="365">
        <v>0</v>
      </c>
      <c r="P216" s="365">
        <v>1</v>
      </c>
      <c r="Q216" s="366">
        <v>0.97899999999999998</v>
      </c>
      <c r="R216" s="367">
        <v>0</v>
      </c>
      <c r="S216" s="366">
        <v>0.97899999999999998</v>
      </c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8" x14ac:dyDescent="0.3">
      <c r="A217" s="1"/>
      <c r="B217" s="364">
        <v>6</v>
      </c>
      <c r="C217" s="68">
        <v>213</v>
      </c>
      <c r="D217" s="69">
        <v>80666860</v>
      </c>
      <c r="E217" s="69" t="s">
        <v>490</v>
      </c>
      <c r="F217" s="24" t="s">
        <v>624</v>
      </c>
      <c r="G217" s="365">
        <v>0.98</v>
      </c>
      <c r="H217" s="365">
        <v>1</v>
      </c>
      <c r="I217" s="365">
        <v>1</v>
      </c>
      <c r="J217" s="365">
        <v>1</v>
      </c>
      <c r="K217" s="365">
        <v>1</v>
      </c>
      <c r="L217" s="365">
        <v>1</v>
      </c>
      <c r="M217" s="365">
        <v>1</v>
      </c>
      <c r="N217" s="365">
        <v>0.5</v>
      </c>
      <c r="O217" s="365">
        <v>0</v>
      </c>
      <c r="P217" s="365">
        <v>1</v>
      </c>
      <c r="Q217" s="366">
        <v>0.93799999999999994</v>
      </c>
      <c r="R217" s="367">
        <v>0</v>
      </c>
      <c r="S217" s="366">
        <v>0.93799999999999994</v>
      </c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8" x14ac:dyDescent="0.3">
      <c r="A218" s="1"/>
      <c r="B218" s="364">
        <v>7</v>
      </c>
      <c r="C218" s="68">
        <v>214</v>
      </c>
      <c r="D218" s="69">
        <v>80672847</v>
      </c>
      <c r="E218" s="69" t="s">
        <v>491</v>
      </c>
      <c r="F218" s="24" t="s">
        <v>624</v>
      </c>
      <c r="G218" s="365">
        <v>1</v>
      </c>
      <c r="H218" s="365">
        <v>1</v>
      </c>
      <c r="I218" s="365">
        <v>1</v>
      </c>
      <c r="J218" s="365">
        <v>1</v>
      </c>
      <c r="K218" s="365">
        <v>1</v>
      </c>
      <c r="L218" s="365">
        <v>1</v>
      </c>
      <c r="M218" s="365">
        <v>0.8</v>
      </c>
      <c r="N218" s="365">
        <v>1</v>
      </c>
      <c r="O218" s="365">
        <v>1</v>
      </c>
      <c r="P218" s="365">
        <v>1</v>
      </c>
      <c r="Q218" s="366">
        <v>0.93</v>
      </c>
      <c r="R218" s="367">
        <v>0</v>
      </c>
      <c r="S218" s="366">
        <v>0.93</v>
      </c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8" x14ac:dyDescent="0.3">
      <c r="A219" s="1"/>
      <c r="B219" s="364">
        <v>8</v>
      </c>
      <c r="C219" s="68">
        <v>215</v>
      </c>
      <c r="D219" s="69">
        <v>80668953</v>
      </c>
      <c r="E219" s="69" t="s">
        <v>453</v>
      </c>
      <c r="F219" s="24" t="s">
        <v>640</v>
      </c>
      <c r="G219" s="365">
        <v>0.98</v>
      </c>
      <c r="H219" s="365">
        <v>1</v>
      </c>
      <c r="I219" s="365">
        <v>1</v>
      </c>
      <c r="J219" s="365">
        <v>1</v>
      </c>
      <c r="K219" s="365">
        <v>1</v>
      </c>
      <c r="L219" s="365">
        <v>0.99829999999999997</v>
      </c>
      <c r="M219" s="365">
        <v>1</v>
      </c>
      <c r="N219" s="365">
        <v>1</v>
      </c>
      <c r="O219" s="365">
        <v>0</v>
      </c>
      <c r="P219" s="365">
        <v>1</v>
      </c>
      <c r="Q219" s="366">
        <v>0.9778</v>
      </c>
      <c r="R219" s="367">
        <v>0</v>
      </c>
      <c r="S219" s="366">
        <v>0.9778</v>
      </c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8" x14ac:dyDescent="0.3">
      <c r="A220" s="1"/>
      <c r="B220" s="364">
        <v>1</v>
      </c>
      <c r="C220" s="68">
        <v>216</v>
      </c>
      <c r="D220" s="69">
        <v>80668920</v>
      </c>
      <c r="E220" s="69" t="s">
        <v>454</v>
      </c>
      <c r="F220" s="24" t="s">
        <v>640</v>
      </c>
      <c r="G220" s="365">
        <v>0.98</v>
      </c>
      <c r="H220" s="365">
        <v>1</v>
      </c>
      <c r="I220" s="365">
        <v>1</v>
      </c>
      <c r="J220" s="365">
        <v>1</v>
      </c>
      <c r="K220" s="365">
        <v>1</v>
      </c>
      <c r="L220" s="365">
        <v>1</v>
      </c>
      <c r="M220" s="365">
        <v>1</v>
      </c>
      <c r="N220" s="365">
        <v>1</v>
      </c>
      <c r="O220" s="365">
        <v>1</v>
      </c>
      <c r="P220" s="365">
        <v>1</v>
      </c>
      <c r="Q220" s="366">
        <v>0.998</v>
      </c>
      <c r="R220" s="367">
        <v>0</v>
      </c>
      <c r="S220" s="366">
        <v>0.998</v>
      </c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8" x14ac:dyDescent="0.3">
      <c r="A221" s="1"/>
      <c r="B221" s="364">
        <v>2</v>
      </c>
      <c r="C221" s="68">
        <v>217</v>
      </c>
      <c r="D221" s="69">
        <v>80660877</v>
      </c>
      <c r="E221" s="69" t="s">
        <v>455</v>
      </c>
      <c r="F221" s="24" t="s">
        <v>640</v>
      </c>
      <c r="G221" s="365">
        <v>1</v>
      </c>
      <c r="H221" s="365">
        <v>1</v>
      </c>
      <c r="I221" s="365">
        <v>1</v>
      </c>
      <c r="J221" s="365">
        <v>1</v>
      </c>
      <c r="K221" s="365">
        <v>1</v>
      </c>
      <c r="L221" s="365">
        <v>1</v>
      </c>
      <c r="M221" s="365">
        <v>1</v>
      </c>
      <c r="N221" s="365">
        <v>0</v>
      </c>
      <c r="O221" s="365">
        <v>0</v>
      </c>
      <c r="P221" s="365">
        <v>1</v>
      </c>
      <c r="Q221" s="366">
        <v>0.9</v>
      </c>
      <c r="R221" s="367">
        <v>0</v>
      </c>
      <c r="S221" s="366">
        <v>0.9</v>
      </c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8" x14ac:dyDescent="0.3">
      <c r="A222" s="1"/>
      <c r="B222" s="364">
        <v>3</v>
      </c>
      <c r="C222" s="68">
        <v>218</v>
      </c>
      <c r="D222" s="69">
        <v>80665555</v>
      </c>
      <c r="E222" s="69" t="s">
        <v>456</v>
      </c>
      <c r="F222" s="24" t="s">
        <v>640</v>
      </c>
      <c r="G222" s="365">
        <v>1</v>
      </c>
      <c r="H222" s="365">
        <v>0.98</v>
      </c>
      <c r="I222" s="365">
        <v>1</v>
      </c>
      <c r="J222" s="365">
        <v>1</v>
      </c>
      <c r="K222" s="365">
        <v>1</v>
      </c>
      <c r="L222" s="365">
        <v>0.99790000000000001</v>
      </c>
      <c r="M222" s="365">
        <v>0.8</v>
      </c>
      <c r="N222" s="365">
        <v>1</v>
      </c>
      <c r="O222" s="365">
        <v>0</v>
      </c>
      <c r="P222" s="365">
        <v>1</v>
      </c>
      <c r="Q222" s="366">
        <v>0.90880000000000005</v>
      </c>
      <c r="R222" s="367">
        <v>0</v>
      </c>
      <c r="S222" s="366">
        <v>0.90880000000000005</v>
      </c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8" x14ac:dyDescent="0.3">
      <c r="A223" s="1"/>
      <c r="B223" s="364">
        <v>4</v>
      </c>
      <c r="C223" s="68">
        <v>219</v>
      </c>
      <c r="D223" s="69">
        <v>80672164</v>
      </c>
      <c r="E223" s="69" t="s">
        <v>457</v>
      </c>
      <c r="F223" s="24" t="s">
        <v>640</v>
      </c>
      <c r="G223" s="365">
        <v>0.98</v>
      </c>
      <c r="H223" s="365">
        <v>1</v>
      </c>
      <c r="I223" s="365">
        <v>1</v>
      </c>
      <c r="J223" s="365">
        <v>1</v>
      </c>
      <c r="K223" s="365">
        <v>1</v>
      </c>
      <c r="L223" s="365">
        <v>0.99790000000000001</v>
      </c>
      <c r="M223" s="365">
        <v>1</v>
      </c>
      <c r="N223" s="365">
        <v>0.5</v>
      </c>
      <c r="O223" s="365">
        <v>0</v>
      </c>
      <c r="P223" s="365">
        <v>1</v>
      </c>
      <c r="Q223" s="366">
        <v>0.93779999999999997</v>
      </c>
      <c r="R223" s="367">
        <v>0</v>
      </c>
      <c r="S223" s="366">
        <v>0.93779999999999997</v>
      </c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8" x14ac:dyDescent="0.3">
      <c r="A224" s="1"/>
      <c r="B224" s="364">
        <v>5</v>
      </c>
      <c r="C224" s="68">
        <v>220</v>
      </c>
      <c r="D224" s="69">
        <v>80674468</v>
      </c>
      <c r="E224" s="69" t="s">
        <v>458</v>
      </c>
      <c r="F224" s="24" t="s">
        <v>640</v>
      </c>
      <c r="G224" s="365">
        <v>1</v>
      </c>
      <c r="H224" s="365">
        <v>1</v>
      </c>
      <c r="I224" s="365">
        <v>1</v>
      </c>
      <c r="J224" s="365">
        <v>0.95540000000000003</v>
      </c>
      <c r="K224" s="365">
        <v>0</v>
      </c>
      <c r="L224" s="365">
        <v>0.98629999999999995</v>
      </c>
      <c r="M224" s="365">
        <v>0.8</v>
      </c>
      <c r="N224" s="365">
        <v>1</v>
      </c>
      <c r="O224" s="365">
        <v>0</v>
      </c>
      <c r="P224" s="365">
        <v>0.5</v>
      </c>
      <c r="Q224" s="366">
        <v>0.82920000000000005</v>
      </c>
      <c r="R224" s="367">
        <v>0</v>
      </c>
      <c r="S224" s="366">
        <v>0.82920000000000005</v>
      </c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8" x14ac:dyDescent="0.3">
      <c r="A225" s="1"/>
      <c r="B225" s="364">
        <v>6</v>
      </c>
      <c r="C225" s="68">
        <v>221</v>
      </c>
      <c r="D225" s="69">
        <v>80669292</v>
      </c>
      <c r="E225" s="69" t="s">
        <v>581</v>
      </c>
      <c r="F225" s="24" t="s">
        <v>673</v>
      </c>
      <c r="G225" s="365">
        <v>1</v>
      </c>
      <c r="H225" s="365">
        <v>1</v>
      </c>
      <c r="I225" s="365">
        <v>1</v>
      </c>
      <c r="J225" s="365">
        <v>1</v>
      </c>
      <c r="K225" s="365">
        <v>1</v>
      </c>
      <c r="L225" s="365">
        <v>1</v>
      </c>
      <c r="M225" s="365">
        <v>1</v>
      </c>
      <c r="N225" s="365">
        <v>1</v>
      </c>
      <c r="O225" s="365">
        <v>1</v>
      </c>
      <c r="P225" s="365">
        <v>0.5</v>
      </c>
      <c r="Q225" s="366">
        <v>0.97499999999999998</v>
      </c>
      <c r="R225" s="367">
        <v>0</v>
      </c>
      <c r="S225" s="366">
        <v>0.97499999999999998</v>
      </c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8" x14ac:dyDescent="0.3">
      <c r="A226" s="1"/>
      <c r="B226" s="364">
        <v>7</v>
      </c>
      <c r="C226" s="68">
        <v>222</v>
      </c>
      <c r="D226" s="69">
        <v>80664551</v>
      </c>
      <c r="E226" s="69" t="s">
        <v>582</v>
      </c>
      <c r="F226" s="24" t="s">
        <v>673</v>
      </c>
      <c r="G226" s="365">
        <v>1</v>
      </c>
      <c r="H226" s="365">
        <v>1</v>
      </c>
      <c r="I226" s="365">
        <v>1</v>
      </c>
      <c r="J226" s="365">
        <v>1</v>
      </c>
      <c r="K226" s="365">
        <v>1</v>
      </c>
      <c r="L226" s="365">
        <v>0.99260000000000004</v>
      </c>
      <c r="M226" s="365">
        <v>1</v>
      </c>
      <c r="N226" s="365">
        <v>1</v>
      </c>
      <c r="O226" s="365">
        <v>0</v>
      </c>
      <c r="P226" s="365">
        <v>1</v>
      </c>
      <c r="Q226" s="366">
        <v>0.97929999999999995</v>
      </c>
      <c r="R226" s="367">
        <v>0</v>
      </c>
      <c r="S226" s="366">
        <v>0.97929999999999995</v>
      </c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8" x14ac:dyDescent="0.3">
      <c r="A227" s="1"/>
      <c r="B227" s="364">
        <v>1</v>
      </c>
      <c r="C227" s="68">
        <v>223</v>
      </c>
      <c r="D227" s="69">
        <v>80672641</v>
      </c>
      <c r="E227" s="69" t="s">
        <v>583</v>
      </c>
      <c r="F227" s="24" t="s">
        <v>673</v>
      </c>
      <c r="G227" s="365">
        <v>1</v>
      </c>
      <c r="H227" s="365">
        <v>1</v>
      </c>
      <c r="I227" s="365">
        <v>1</v>
      </c>
      <c r="J227" s="365">
        <v>1</v>
      </c>
      <c r="K227" s="365">
        <v>1</v>
      </c>
      <c r="L227" s="365">
        <v>0.99129999999999996</v>
      </c>
      <c r="M227" s="365">
        <v>1</v>
      </c>
      <c r="N227" s="365">
        <v>1</v>
      </c>
      <c r="O227" s="365">
        <v>0</v>
      </c>
      <c r="P227" s="365">
        <v>1</v>
      </c>
      <c r="Q227" s="366">
        <v>0.97909999999999997</v>
      </c>
      <c r="R227" s="367">
        <v>0</v>
      </c>
      <c r="S227" s="366">
        <v>0.97909999999999997</v>
      </c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8" x14ac:dyDescent="0.3">
      <c r="A228" s="1"/>
      <c r="B228" s="364">
        <v>2</v>
      </c>
      <c r="C228" s="68">
        <v>224</v>
      </c>
      <c r="D228" s="69">
        <v>80672799</v>
      </c>
      <c r="E228" s="69" t="s">
        <v>584</v>
      </c>
      <c r="F228" s="24" t="s">
        <v>673</v>
      </c>
      <c r="G228" s="365">
        <v>1</v>
      </c>
      <c r="H228" s="365">
        <v>1</v>
      </c>
      <c r="I228" s="365">
        <v>1</v>
      </c>
      <c r="J228" s="365">
        <v>1</v>
      </c>
      <c r="K228" s="365">
        <v>1</v>
      </c>
      <c r="L228" s="365">
        <v>0.99570000000000003</v>
      </c>
      <c r="M228" s="365">
        <v>1</v>
      </c>
      <c r="N228" s="365">
        <v>1</v>
      </c>
      <c r="O228" s="365">
        <v>0</v>
      </c>
      <c r="P228" s="365">
        <v>1</v>
      </c>
      <c r="Q228" s="366">
        <v>0.97960000000000003</v>
      </c>
      <c r="R228" s="367">
        <v>0</v>
      </c>
      <c r="S228" s="366">
        <v>0.97960000000000003</v>
      </c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8" x14ac:dyDescent="0.3">
      <c r="A229" s="1"/>
      <c r="B229" s="364">
        <v>3</v>
      </c>
      <c r="C229" s="68">
        <v>225</v>
      </c>
      <c r="D229" s="69">
        <v>80674462</v>
      </c>
      <c r="E229" s="69" t="s">
        <v>585</v>
      </c>
      <c r="F229" s="24" t="s">
        <v>673</v>
      </c>
      <c r="G229" s="365">
        <v>1</v>
      </c>
      <c r="H229" s="365">
        <v>1</v>
      </c>
      <c r="I229" s="365">
        <v>1</v>
      </c>
      <c r="J229" s="365">
        <v>0.94110000000000005</v>
      </c>
      <c r="K229" s="365">
        <v>1</v>
      </c>
      <c r="L229" s="365">
        <v>1</v>
      </c>
      <c r="M229" s="365">
        <v>1</v>
      </c>
      <c r="N229" s="365">
        <v>0.5</v>
      </c>
      <c r="O229" s="365">
        <v>0</v>
      </c>
      <c r="P229" s="365">
        <v>1</v>
      </c>
      <c r="Q229" s="366">
        <v>0.93410000000000004</v>
      </c>
      <c r="R229" s="367">
        <v>0</v>
      </c>
      <c r="S229" s="366">
        <v>0.93410000000000004</v>
      </c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8" x14ac:dyDescent="0.3">
      <c r="A230" s="1"/>
      <c r="B230" s="364">
        <v>4</v>
      </c>
      <c r="C230" s="68">
        <v>226</v>
      </c>
      <c r="D230" s="69">
        <v>80666871</v>
      </c>
      <c r="E230" s="69" t="s">
        <v>49</v>
      </c>
      <c r="F230" s="24" t="s">
        <v>654</v>
      </c>
      <c r="G230" s="365">
        <v>1</v>
      </c>
      <c r="H230" s="365">
        <v>1</v>
      </c>
      <c r="I230" s="365">
        <v>1</v>
      </c>
      <c r="J230" s="365">
        <v>0.76629999999999998</v>
      </c>
      <c r="K230" s="365">
        <v>1</v>
      </c>
      <c r="L230" s="365">
        <v>0.99129999999999996</v>
      </c>
      <c r="M230" s="365">
        <v>0.8</v>
      </c>
      <c r="N230" s="365">
        <v>0</v>
      </c>
      <c r="O230" s="365">
        <v>0</v>
      </c>
      <c r="P230" s="365">
        <v>1</v>
      </c>
      <c r="Q230" s="366">
        <v>0.80579999999999996</v>
      </c>
      <c r="R230" s="367">
        <v>0</v>
      </c>
      <c r="S230" s="366">
        <v>0.80579999999999996</v>
      </c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8" x14ac:dyDescent="0.3">
      <c r="A231" s="1"/>
      <c r="B231" s="364">
        <v>5</v>
      </c>
      <c r="C231" s="68">
        <v>227</v>
      </c>
      <c r="D231" s="69">
        <v>80665550</v>
      </c>
      <c r="E231" s="69" t="s">
        <v>50</v>
      </c>
      <c r="F231" s="24" t="s">
        <v>654</v>
      </c>
      <c r="G231" s="365">
        <v>1</v>
      </c>
      <c r="H231" s="365">
        <v>0.98</v>
      </c>
      <c r="I231" s="365">
        <v>1</v>
      </c>
      <c r="J231" s="365">
        <v>1</v>
      </c>
      <c r="K231" s="365">
        <v>1</v>
      </c>
      <c r="L231" s="365">
        <v>0.995</v>
      </c>
      <c r="M231" s="365">
        <v>1</v>
      </c>
      <c r="N231" s="365">
        <v>0.5</v>
      </c>
      <c r="O231" s="365">
        <v>0</v>
      </c>
      <c r="P231" s="365">
        <v>1</v>
      </c>
      <c r="Q231" s="366">
        <v>0.9385</v>
      </c>
      <c r="R231" s="367">
        <v>0</v>
      </c>
      <c r="S231" s="366">
        <v>0.9385</v>
      </c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8" x14ac:dyDescent="0.3">
      <c r="A232" s="1"/>
      <c r="B232" s="364">
        <v>6</v>
      </c>
      <c r="C232" s="68">
        <v>228</v>
      </c>
      <c r="D232" s="69">
        <v>80670783</v>
      </c>
      <c r="E232" s="69" t="s">
        <v>51</v>
      </c>
      <c r="F232" s="24" t="s">
        <v>654</v>
      </c>
      <c r="G232" s="365">
        <v>0.98</v>
      </c>
      <c r="H232" s="365">
        <v>1</v>
      </c>
      <c r="I232" s="365">
        <v>1</v>
      </c>
      <c r="J232" s="365">
        <v>0.87129999999999996</v>
      </c>
      <c r="K232" s="365">
        <v>0</v>
      </c>
      <c r="L232" s="365">
        <v>1</v>
      </c>
      <c r="M232" s="365">
        <v>1</v>
      </c>
      <c r="N232" s="365">
        <v>0.5</v>
      </c>
      <c r="O232" s="365">
        <v>0</v>
      </c>
      <c r="P232" s="365">
        <v>1</v>
      </c>
      <c r="Q232" s="366">
        <v>0.87509999999999999</v>
      </c>
      <c r="R232" s="367">
        <v>0</v>
      </c>
      <c r="S232" s="366">
        <v>0.87509999999999999</v>
      </c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8" x14ac:dyDescent="0.3">
      <c r="A233" s="1"/>
      <c r="B233" s="364">
        <v>7</v>
      </c>
      <c r="C233" s="68">
        <v>229</v>
      </c>
      <c r="D233" s="69">
        <v>80659186</v>
      </c>
      <c r="E233" s="69" t="s">
        <v>52</v>
      </c>
      <c r="F233" s="24" t="s">
        <v>654</v>
      </c>
      <c r="G233" s="365">
        <v>1</v>
      </c>
      <c r="H233" s="365">
        <v>1</v>
      </c>
      <c r="I233" s="365">
        <v>1</v>
      </c>
      <c r="J233" s="365">
        <v>1</v>
      </c>
      <c r="K233" s="365">
        <v>1</v>
      </c>
      <c r="L233" s="365">
        <v>1</v>
      </c>
      <c r="M233" s="365">
        <v>1</v>
      </c>
      <c r="N233" s="365">
        <v>1</v>
      </c>
      <c r="O233" s="365">
        <v>0</v>
      </c>
      <c r="P233" s="365">
        <v>1</v>
      </c>
      <c r="Q233" s="366">
        <v>0.98</v>
      </c>
      <c r="R233" s="367">
        <v>0</v>
      </c>
      <c r="S233" s="366">
        <v>0.98</v>
      </c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8" x14ac:dyDescent="0.3">
      <c r="A234" s="1"/>
      <c r="B234" s="364">
        <v>2</v>
      </c>
      <c r="C234" s="68">
        <v>230</v>
      </c>
      <c r="D234" s="69">
        <v>80661186</v>
      </c>
      <c r="E234" s="69" t="s">
        <v>53</v>
      </c>
      <c r="F234" s="24" t="s">
        <v>654</v>
      </c>
      <c r="G234" s="365">
        <v>1</v>
      </c>
      <c r="H234" s="365">
        <v>1</v>
      </c>
      <c r="I234" s="365">
        <v>1</v>
      </c>
      <c r="J234" s="365">
        <v>0.98609999999999998</v>
      </c>
      <c r="K234" s="365">
        <v>1</v>
      </c>
      <c r="L234" s="365">
        <v>0.97940000000000005</v>
      </c>
      <c r="M234" s="365">
        <v>0.8</v>
      </c>
      <c r="N234" s="365">
        <v>0.5</v>
      </c>
      <c r="O234" s="365">
        <v>0</v>
      </c>
      <c r="P234" s="365">
        <v>0.75</v>
      </c>
      <c r="Q234" s="366">
        <v>0.85399999999999998</v>
      </c>
      <c r="R234" s="367">
        <v>0</v>
      </c>
      <c r="S234" s="366">
        <v>0.85399999999999998</v>
      </c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8" x14ac:dyDescent="0.3">
      <c r="A235" s="1"/>
      <c r="B235" s="364">
        <v>3</v>
      </c>
      <c r="C235" s="68">
        <v>231</v>
      </c>
      <c r="D235" s="69">
        <v>80674466</v>
      </c>
      <c r="E235" s="69" t="s">
        <v>54</v>
      </c>
      <c r="F235" s="24" t="s">
        <v>654</v>
      </c>
      <c r="G235" s="365">
        <v>1</v>
      </c>
      <c r="H235" s="365">
        <v>0.98</v>
      </c>
      <c r="I235" s="365">
        <v>1</v>
      </c>
      <c r="J235" s="365">
        <v>1</v>
      </c>
      <c r="K235" s="365">
        <v>1</v>
      </c>
      <c r="L235" s="365">
        <v>0.99670000000000003</v>
      </c>
      <c r="M235" s="365">
        <v>1</v>
      </c>
      <c r="N235" s="365">
        <v>0.5</v>
      </c>
      <c r="O235" s="365">
        <v>0</v>
      </c>
      <c r="P235" s="365">
        <v>0.5</v>
      </c>
      <c r="Q235" s="366">
        <v>0.91369999999999996</v>
      </c>
      <c r="R235" s="367">
        <v>0</v>
      </c>
      <c r="S235" s="366">
        <v>0.91369999999999996</v>
      </c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8" x14ac:dyDescent="0.3">
      <c r="A236" s="1"/>
      <c r="B236" s="364">
        <v>4</v>
      </c>
      <c r="C236" s="68">
        <v>232</v>
      </c>
      <c r="D236" s="69">
        <v>80674459</v>
      </c>
      <c r="E236" s="69" t="s">
        <v>606</v>
      </c>
      <c r="F236" s="24" t="s">
        <v>675</v>
      </c>
      <c r="G236" s="365">
        <v>1</v>
      </c>
      <c r="H236" s="365">
        <v>1</v>
      </c>
      <c r="I236" s="365">
        <v>1</v>
      </c>
      <c r="J236" s="365">
        <v>0.74339999999999995</v>
      </c>
      <c r="K236" s="365">
        <v>0</v>
      </c>
      <c r="L236" s="365">
        <v>0.99399999999999999</v>
      </c>
      <c r="M236" s="365">
        <v>1</v>
      </c>
      <c r="N236" s="365">
        <v>1</v>
      </c>
      <c r="O236" s="365">
        <v>0</v>
      </c>
      <c r="P236" s="365">
        <v>0.5</v>
      </c>
      <c r="Q236" s="366">
        <v>0.87870000000000004</v>
      </c>
      <c r="R236" s="367">
        <v>0</v>
      </c>
      <c r="S236" s="366">
        <v>0.87870000000000004</v>
      </c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8" x14ac:dyDescent="0.3">
      <c r="A237" s="1"/>
      <c r="B237" s="364">
        <v>5</v>
      </c>
      <c r="C237" s="68">
        <v>233</v>
      </c>
      <c r="D237" s="69">
        <v>80660885</v>
      </c>
      <c r="E237" s="69" t="s">
        <v>607</v>
      </c>
      <c r="F237" s="24" t="s">
        <v>675</v>
      </c>
      <c r="G237" s="365">
        <v>1</v>
      </c>
      <c r="H237" s="365">
        <v>1</v>
      </c>
      <c r="I237" s="365">
        <v>1</v>
      </c>
      <c r="J237" s="365">
        <v>1</v>
      </c>
      <c r="K237" s="365">
        <v>1</v>
      </c>
      <c r="L237" s="365">
        <v>1</v>
      </c>
      <c r="M237" s="365">
        <v>1</v>
      </c>
      <c r="N237" s="365">
        <v>0.5</v>
      </c>
      <c r="O237" s="365">
        <v>1</v>
      </c>
      <c r="P237" s="365">
        <v>1</v>
      </c>
      <c r="Q237" s="366">
        <v>0.96</v>
      </c>
      <c r="R237" s="367">
        <v>0</v>
      </c>
      <c r="S237" s="366">
        <v>0.96</v>
      </c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8" x14ac:dyDescent="0.3">
      <c r="A238" s="1"/>
      <c r="B238" s="364">
        <v>6</v>
      </c>
      <c r="C238" s="68">
        <v>234</v>
      </c>
      <c r="D238" s="69">
        <v>80661199</v>
      </c>
      <c r="E238" s="69" t="s">
        <v>608</v>
      </c>
      <c r="F238" s="24" t="s">
        <v>675</v>
      </c>
      <c r="G238" s="365">
        <v>1</v>
      </c>
      <c r="H238" s="365">
        <v>1</v>
      </c>
      <c r="I238" s="365">
        <v>0.98240000000000005</v>
      </c>
      <c r="J238" s="365">
        <v>0.99109999999999998</v>
      </c>
      <c r="K238" s="365">
        <v>1</v>
      </c>
      <c r="L238" s="365">
        <v>0.99809999999999999</v>
      </c>
      <c r="M238" s="365">
        <v>1</v>
      </c>
      <c r="N238" s="365">
        <v>1</v>
      </c>
      <c r="O238" s="365">
        <v>0</v>
      </c>
      <c r="P238" s="365">
        <v>1</v>
      </c>
      <c r="Q238" s="366">
        <v>0.97719999999999996</v>
      </c>
      <c r="R238" s="367">
        <v>0</v>
      </c>
      <c r="S238" s="366">
        <v>0.97719999999999996</v>
      </c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8" x14ac:dyDescent="0.3">
      <c r="A239" s="1"/>
      <c r="B239" s="364">
        <v>7</v>
      </c>
      <c r="C239" s="68">
        <v>235</v>
      </c>
      <c r="D239" s="69">
        <v>80671164</v>
      </c>
      <c r="E239" s="69" t="s">
        <v>609</v>
      </c>
      <c r="F239" s="24" t="s">
        <v>675</v>
      </c>
      <c r="G239" s="365">
        <v>1</v>
      </c>
      <c r="H239" s="365">
        <v>0.99</v>
      </c>
      <c r="I239" s="365">
        <v>1</v>
      </c>
      <c r="J239" s="365">
        <v>1</v>
      </c>
      <c r="K239" s="365">
        <v>1</v>
      </c>
      <c r="L239" s="365">
        <v>0.99219999999999997</v>
      </c>
      <c r="M239" s="365">
        <v>1</v>
      </c>
      <c r="N239" s="365">
        <v>1</v>
      </c>
      <c r="O239" s="365">
        <v>0</v>
      </c>
      <c r="P239" s="365">
        <v>1</v>
      </c>
      <c r="Q239" s="366">
        <v>0.97870000000000001</v>
      </c>
      <c r="R239" s="367">
        <v>0</v>
      </c>
      <c r="S239" s="366">
        <v>0.97870000000000001</v>
      </c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8" x14ac:dyDescent="0.3">
      <c r="A240" s="1"/>
      <c r="B240" s="364">
        <v>1</v>
      </c>
      <c r="C240" s="68">
        <v>236</v>
      </c>
      <c r="D240" s="69">
        <v>80657553</v>
      </c>
      <c r="E240" s="69" t="s">
        <v>610</v>
      </c>
      <c r="F240" s="24" t="s">
        <v>675</v>
      </c>
      <c r="G240" s="365">
        <v>1</v>
      </c>
      <c r="H240" s="365">
        <v>1</v>
      </c>
      <c r="I240" s="365">
        <v>1</v>
      </c>
      <c r="J240" s="365">
        <v>0.91539999999999999</v>
      </c>
      <c r="K240" s="365">
        <v>1</v>
      </c>
      <c r="L240" s="365">
        <v>0.99680000000000002</v>
      </c>
      <c r="M240" s="365">
        <v>1</v>
      </c>
      <c r="N240" s="365">
        <v>1</v>
      </c>
      <c r="O240" s="365">
        <v>0</v>
      </c>
      <c r="P240" s="365">
        <v>0.5</v>
      </c>
      <c r="Q240" s="366">
        <v>0.94620000000000004</v>
      </c>
      <c r="R240" s="367">
        <v>0</v>
      </c>
      <c r="S240" s="366">
        <v>0.94620000000000004</v>
      </c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8" x14ac:dyDescent="0.3">
      <c r="A241" s="1"/>
      <c r="B241" s="364">
        <v>2</v>
      </c>
      <c r="C241" s="68">
        <v>237</v>
      </c>
      <c r="D241" s="69">
        <v>80671876</v>
      </c>
      <c r="E241" s="69" t="s">
        <v>363</v>
      </c>
      <c r="F241" s="24" t="s">
        <v>635</v>
      </c>
      <c r="G241" s="365">
        <v>1</v>
      </c>
      <c r="H241" s="365">
        <v>1</v>
      </c>
      <c r="I241" s="365">
        <v>1</v>
      </c>
      <c r="J241" s="365">
        <v>1</v>
      </c>
      <c r="K241" s="365">
        <v>1</v>
      </c>
      <c r="L241" s="365">
        <v>1</v>
      </c>
      <c r="M241" s="365">
        <v>1</v>
      </c>
      <c r="N241" s="365">
        <v>1</v>
      </c>
      <c r="O241" s="365">
        <v>1</v>
      </c>
      <c r="P241" s="365">
        <v>1</v>
      </c>
      <c r="Q241" s="366">
        <v>1</v>
      </c>
      <c r="R241" s="367">
        <v>0</v>
      </c>
      <c r="S241" s="366">
        <v>1</v>
      </c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8" x14ac:dyDescent="0.3">
      <c r="A242" s="1"/>
      <c r="B242" s="364">
        <v>3</v>
      </c>
      <c r="C242" s="68">
        <v>238</v>
      </c>
      <c r="D242" s="69">
        <v>80671870</v>
      </c>
      <c r="E242" s="69" t="s">
        <v>364</v>
      </c>
      <c r="F242" s="24" t="s">
        <v>635</v>
      </c>
      <c r="G242" s="365">
        <v>0.98</v>
      </c>
      <c r="H242" s="365">
        <v>1</v>
      </c>
      <c r="I242" s="365">
        <v>1</v>
      </c>
      <c r="J242" s="365">
        <v>1</v>
      </c>
      <c r="K242" s="365">
        <v>1</v>
      </c>
      <c r="L242" s="365">
        <v>0.99239999999999995</v>
      </c>
      <c r="M242" s="365">
        <v>0.8</v>
      </c>
      <c r="N242" s="365">
        <v>1</v>
      </c>
      <c r="O242" s="365">
        <v>0</v>
      </c>
      <c r="P242" s="365">
        <v>1</v>
      </c>
      <c r="Q242" s="366">
        <v>0.90720000000000001</v>
      </c>
      <c r="R242" s="367">
        <v>0</v>
      </c>
      <c r="S242" s="366">
        <v>0.90720000000000001</v>
      </c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8" x14ac:dyDescent="0.3">
      <c r="A243" s="1"/>
      <c r="B243" s="364">
        <v>4</v>
      </c>
      <c r="C243" s="68">
        <v>239</v>
      </c>
      <c r="D243" s="69">
        <v>80671147</v>
      </c>
      <c r="E243" s="69" t="s">
        <v>365</v>
      </c>
      <c r="F243" s="24" t="s">
        <v>635</v>
      </c>
      <c r="G243" s="365">
        <v>1</v>
      </c>
      <c r="H243" s="365">
        <v>1</v>
      </c>
      <c r="I243" s="365">
        <v>1</v>
      </c>
      <c r="J243" s="365">
        <v>1</v>
      </c>
      <c r="K243" s="365">
        <v>1</v>
      </c>
      <c r="L243" s="365">
        <v>0.99790000000000001</v>
      </c>
      <c r="M243" s="365">
        <v>1</v>
      </c>
      <c r="N243" s="365">
        <v>1</v>
      </c>
      <c r="O243" s="365">
        <v>0</v>
      </c>
      <c r="P243" s="365">
        <v>0.75</v>
      </c>
      <c r="Q243" s="366">
        <v>0.96730000000000005</v>
      </c>
      <c r="R243" s="367">
        <v>0</v>
      </c>
      <c r="S243" s="366">
        <v>0.96730000000000005</v>
      </c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8" x14ac:dyDescent="0.3">
      <c r="A244" s="1"/>
      <c r="B244" s="364">
        <v>5</v>
      </c>
      <c r="C244" s="68">
        <v>240</v>
      </c>
      <c r="D244" s="69">
        <v>80661219</v>
      </c>
      <c r="E244" s="69" t="s">
        <v>366</v>
      </c>
      <c r="F244" s="24" t="s">
        <v>635</v>
      </c>
      <c r="G244" s="365">
        <v>1</v>
      </c>
      <c r="H244" s="365">
        <v>1</v>
      </c>
      <c r="I244" s="365">
        <v>1</v>
      </c>
      <c r="J244" s="365">
        <v>1</v>
      </c>
      <c r="K244" s="365">
        <v>1</v>
      </c>
      <c r="L244" s="365">
        <v>0.98260000000000003</v>
      </c>
      <c r="M244" s="365">
        <v>0.8</v>
      </c>
      <c r="N244" s="365">
        <v>0.5</v>
      </c>
      <c r="O244" s="365">
        <v>0</v>
      </c>
      <c r="P244" s="365">
        <v>0.5</v>
      </c>
      <c r="Q244" s="366">
        <v>0.84330000000000005</v>
      </c>
      <c r="R244" s="367">
        <v>0</v>
      </c>
      <c r="S244" s="366">
        <v>0.84330000000000005</v>
      </c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8" x14ac:dyDescent="0.3">
      <c r="A245" s="1"/>
      <c r="B245" s="364">
        <v>6</v>
      </c>
      <c r="C245" s="68">
        <v>241</v>
      </c>
      <c r="D245" s="69">
        <v>80668923</v>
      </c>
      <c r="E245" s="69" t="s">
        <v>367</v>
      </c>
      <c r="F245" s="24" t="s">
        <v>635</v>
      </c>
      <c r="G245" s="365">
        <v>1</v>
      </c>
      <c r="H245" s="365">
        <v>1</v>
      </c>
      <c r="I245" s="365">
        <v>1</v>
      </c>
      <c r="J245" s="365">
        <v>1</v>
      </c>
      <c r="K245" s="365">
        <v>1</v>
      </c>
      <c r="L245" s="365">
        <v>1</v>
      </c>
      <c r="M245" s="365">
        <v>0.8</v>
      </c>
      <c r="N245" s="365">
        <v>0.5</v>
      </c>
      <c r="O245" s="365">
        <v>0</v>
      </c>
      <c r="P245" s="365">
        <v>0.75</v>
      </c>
      <c r="Q245" s="366">
        <v>0.85750000000000004</v>
      </c>
      <c r="R245" s="367">
        <v>0</v>
      </c>
      <c r="S245" s="366">
        <v>0.85750000000000004</v>
      </c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8" x14ac:dyDescent="0.3">
      <c r="A246" s="1"/>
      <c r="B246" s="364">
        <v>7</v>
      </c>
      <c r="C246" s="68">
        <v>242</v>
      </c>
      <c r="D246" s="69">
        <v>80671161</v>
      </c>
      <c r="E246" s="69" t="s">
        <v>368</v>
      </c>
      <c r="F246" s="24" t="s">
        <v>635</v>
      </c>
      <c r="G246" s="365">
        <v>0.96</v>
      </c>
      <c r="H246" s="365">
        <v>1</v>
      </c>
      <c r="I246" s="365">
        <v>1</v>
      </c>
      <c r="J246" s="365">
        <v>1</v>
      </c>
      <c r="K246" s="365">
        <v>1</v>
      </c>
      <c r="L246" s="365">
        <v>0.96279999999999999</v>
      </c>
      <c r="M246" s="365">
        <v>0.8</v>
      </c>
      <c r="N246" s="365">
        <v>1</v>
      </c>
      <c r="O246" s="365">
        <v>0</v>
      </c>
      <c r="P246" s="365">
        <v>1</v>
      </c>
      <c r="Q246" s="366">
        <v>0.90229999999999999</v>
      </c>
      <c r="R246" s="367">
        <v>0</v>
      </c>
      <c r="S246" s="366">
        <v>0.90229999999999999</v>
      </c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8" x14ac:dyDescent="0.3">
      <c r="A247" s="1"/>
      <c r="B247" s="364">
        <v>1</v>
      </c>
      <c r="C247" s="68">
        <v>243</v>
      </c>
      <c r="D247" s="69">
        <v>80670967</v>
      </c>
      <c r="E247" s="69" t="s">
        <v>421</v>
      </c>
      <c r="F247" s="24" t="s">
        <v>655</v>
      </c>
      <c r="G247" s="365">
        <v>1</v>
      </c>
      <c r="H247" s="365">
        <v>1</v>
      </c>
      <c r="I247" s="365">
        <v>1</v>
      </c>
      <c r="J247" s="365">
        <v>1</v>
      </c>
      <c r="K247" s="365">
        <v>1</v>
      </c>
      <c r="L247" s="365">
        <v>1</v>
      </c>
      <c r="M247" s="365">
        <v>1</v>
      </c>
      <c r="N247" s="365">
        <v>1</v>
      </c>
      <c r="O247" s="365">
        <v>0</v>
      </c>
      <c r="P247" s="365">
        <v>1</v>
      </c>
      <c r="Q247" s="366">
        <v>0.98</v>
      </c>
      <c r="R247" s="367">
        <v>0</v>
      </c>
      <c r="S247" s="366">
        <v>0.98</v>
      </c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8" x14ac:dyDescent="0.3">
      <c r="A248" s="1"/>
      <c r="B248" s="364">
        <v>2</v>
      </c>
      <c r="C248" s="68">
        <v>244</v>
      </c>
      <c r="D248" s="69">
        <v>80670774</v>
      </c>
      <c r="E248" s="69" t="s">
        <v>422</v>
      </c>
      <c r="F248" s="24" t="s">
        <v>655</v>
      </c>
      <c r="G248" s="365">
        <v>0.98</v>
      </c>
      <c r="H248" s="365">
        <v>0.99</v>
      </c>
      <c r="I248" s="365">
        <v>1</v>
      </c>
      <c r="J248" s="365">
        <v>1</v>
      </c>
      <c r="K248" s="365">
        <v>1</v>
      </c>
      <c r="L248" s="365">
        <v>0.98399999999999999</v>
      </c>
      <c r="M248" s="365">
        <v>0.8</v>
      </c>
      <c r="N248" s="365">
        <v>1</v>
      </c>
      <c r="O248" s="365">
        <v>1</v>
      </c>
      <c r="P248" s="365">
        <v>1</v>
      </c>
      <c r="Q248" s="366">
        <v>0.92589999999999995</v>
      </c>
      <c r="R248" s="367">
        <v>0</v>
      </c>
      <c r="S248" s="366">
        <v>0.92589999999999995</v>
      </c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8" x14ac:dyDescent="0.3">
      <c r="A249" s="1"/>
      <c r="B249" s="364">
        <v>3</v>
      </c>
      <c r="C249" s="68">
        <v>245</v>
      </c>
      <c r="D249" s="69">
        <v>80670974</v>
      </c>
      <c r="E249" s="69" t="s">
        <v>423</v>
      </c>
      <c r="F249" s="24" t="s">
        <v>655</v>
      </c>
      <c r="G249" s="365">
        <v>1</v>
      </c>
      <c r="H249" s="365">
        <v>1</v>
      </c>
      <c r="I249" s="365">
        <v>1</v>
      </c>
      <c r="J249" s="365">
        <v>1</v>
      </c>
      <c r="K249" s="365">
        <v>1</v>
      </c>
      <c r="L249" s="365">
        <v>0.99399999999999999</v>
      </c>
      <c r="M249" s="365">
        <v>1</v>
      </c>
      <c r="N249" s="365">
        <v>1</v>
      </c>
      <c r="O249" s="365">
        <v>0</v>
      </c>
      <c r="P249" s="365">
        <v>1</v>
      </c>
      <c r="Q249" s="366">
        <v>0.97940000000000005</v>
      </c>
      <c r="R249" s="367">
        <v>0</v>
      </c>
      <c r="S249" s="366">
        <v>0.97940000000000005</v>
      </c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8" x14ac:dyDescent="0.3">
      <c r="A250" s="1"/>
      <c r="B250" s="364">
        <v>4</v>
      </c>
      <c r="C250" s="68">
        <v>246</v>
      </c>
      <c r="D250" s="69">
        <v>80663633</v>
      </c>
      <c r="E250" s="69" t="s">
        <v>424</v>
      </c>
      <c r="F250" s="24" t="s">
        <v>655</v>
      </c>
      <c r="G250" s="365">
        <v>1</v>
      </c>
      <c r="H250" s="365">
        <v>1</v>
      </c>
      <c r="I250" s="365">
        <v>1</v>
      </c>
      <c r="J250" s="365">
        <v>0.99550000000000005</v>
      </c>
      <c r="K250" s="365">
        <v>1</v>
      </c>
      <c r="L250" s="365">
        <v>1</v>
      </c>
      <c r="M250" s="365">
        <v>1</v>
      </c>
      <c r="N250" s="365">
        <v>1</v>
      </c>
      <c r="O250" s="365">
        <v>0</v>
      </c>
      <c r="P250" s="365">
        <v>1</v>
      </c>
      <c r="Q250" s="366">
        <v>0.97960000000000003</v>
      </c>
      <c r="R250" s="367">
        <v>0</v>
      </c>
      <c r="S250" s="366">
        <v>0.97960000000000003</v>
      </c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8" x14ac:dyDescent="0.3">
      <c r="A251" s="1"/>
      <c r="B251" s="364">
        <v>5</v>
      </c>
      <c r="C251" s="68">
        <v>247</v>
      </c>
      <c r="D251" s="69">
        <v>80661446</v>
      </c>
      <c r="E251" s="69" t="s">
        <v>425</v>
      </c>
      <c r="F251" s="24" t="s">
        <v>655</v>
      </c>
      <c r="G251" s="365">
        <v>1</v>
      </c>
      <c r="H251" s="365">
        <v>1</v>
      </c>
      <c r="I251" s="365">
        <v>1</v>
      </c>
      <c r="J251" s="365">
        <v>1</v>
      </c>
      <c r="K251" s="365">
        <v>1</v>
      </c>
      <c r="L251" s="365">
        <v>0.99809999999999999</v>
      </c>
      <c r="M251" s="365">
        <v>0.8</v>
      </c>
      <c r="N251" s="365">
        <v>1</v>
      </c>
      <c r="O251" s="365">
        <v>1</v>
      </c>
      <c r="P251" s="365">
        <v>1</v>
      </c>
      <c r="Q251" s="366">
        <v>0.92979999999999996</v>
      </c>
      <c r="R251" s="367">
        <v>0</v>
      </c>
      <c r="S251" s="366">
        <v>0.92979999999999996</v>
      </c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8" x14ac:dyDescent="0.3">
      <c r="A252" s="1"/>
      <c r="B252" s="364">
        <v>7</v>
      </c>
      <c r="C252" s="68">
        <v>248</v>
      </c>
      <c r="D252" s="69">
        <v>80668534</v>
      </c>
      <c r="E252" s="69" t="s">
        <v>472</v>
      </c>
      <c r="F252" s="24" t="s">
        <v>674</v>
      </c>
      <c r="G252" s="365">
        <v>1</v>
      </c>
      <c r="H252" s="365">
        <v>1</v>
      </c>
      <c r="I252" s="365">
        <v>1</v>
      </c>
      <c r="J252" s="365">
        <v>1</v>
      </c>
      <c r="K252" s="365">
        <v>1</v>
      </c>
      <c r="L252" s="365">
        <v>0.99109999999999998</v>
      </c>
      <c r="M252" s="365">
        <v>0.8</v>
      </c>
      <c r="N252" s="365">
        <v>1</v>
      </c>
      <c r="O252" s="365">
        <v>0</v>
      </c>
      <c r="P252" s="365">
        <v>1</v>
      </c>
      <c r="Q252" s="366">
        <v>0.90910000000000002</v>
      </c>
      <c r="R252" s="367">
        <v>0</v>
      </c>
      <c r="S252" s="366">
        <v>0.90910000000000002</v>
      </c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8" x14ac:dyDescent="0.3">
      <c r="A253" s="1"/>
      <c r="B253" s="364">
        <v>8</v>
      </c>
      <c r="C253" s="68">
        <v>249</v>
      </c>
      <c r="D253" s="69">
        <v>80664150</v>
      </c>
      <c r="E253" s="69" t="s">
        <v>473</v>
      </c>
      <c r="F253" s="24" t="s">
        <v>674</v>
      </c>
      <c r="G253" s="365">
        <v>1</v>
      </c>
      <c r="H253" s="365">
        <v>1</v>
      </c>
      <c r="I253" s="365">
        <v>1</v>
      </c>
      <c r="J253" s="365">
        <v>1</v>
      </c>
      <c r="K253" s="365">
        <v>1</v>
      </c>
      <c r="L253" s="365">
        <v>0.98609999999999998</v>
      </c>
      <c r="M253" s="365">
        <v>1</v>
      </c>
      <c r="N253" s="365">
        <v>1</v>
      </c>
      <c r="O253" s="365">
        <v>0</v>
      </c>
      <c r="P253" s="365">
        <v>1</v>
      </c>
      <c r="Q253" s="366">
        <v>0.97860000000000003</v>
      </c>
      <c r="R253" s="367">
        <v>0</v>
      </c>
      <c r="S253" s="366">
        <v>0.97860000000000003</v>
      </c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8" x14ac:dyDescent="0.3">
      <c r="A254" s="1"/>
      <c r="B254" s="364">
        <v>1</v>
      </c>
      <c r="C254" s="68">
        <v>250</v>
      </c>
      <c r="D254" s="69">
        <v>80672849</v>
      </c>
      <c r="E254" s="69" t="s">
        <v>474</v>
      </c>
      <c r="F254" s="24" t="s">
        <v>674</v>
      </c>
      <c r="G254" s="365">
        <v>1</v>
      </c>
      <c r="H254" s="365">
        <v>1</v>
      </c>
      <c r="I254" s="365">
        <v>1</v>
      </c>
      <c r="J254" s="365">
        <v>1</v>
      </c>
      <c r="K254" s="365">
        <v>1</v>
      </c>
      <c r="L254" s="365">
        <v>0.9889</v>
      </c>
      <c r="M254" s="365">
        <v>1</v>
      </c>
      <c r="N254" s="365">
        <v>1</v>
      </c>
      <c r="O254" s="365">
        <v>0</v>
      </c>
      <c r="P254" s="365">
        <v>1</v>
      </c>
      <c r="Q254" s="366">
        <v>0.97889999999999999</v>
      </c>
      <c r="R254" s="367">
        <v>0</v>
      </c>
      <c r="S254" s="366">
        <v>0.97889999999999999</v>
      </c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8" x14ac:dyDescent="0.3">
      <c r="A255" s="1"/>
      <c r="B255" s="364">
        <v>2</v>
      </c>
      <c r="C255" s="68">
        <v>251</v>
      </c>
      <c r="D255" s="69">
        <v>80672800</v>
      </c>
      <c r="E255" s="69" t="s">
        <v>475</v>
      </c>
      <c r="F255" s="24" t="s">
        <v>674</v>
      </c>
      <c r="G255" s="365">
        <v>0.98</v>
      </c>
      <c r="H255" s="365">
        <v>0.99</v>
      </c>
      <c r="I255" s="365">
        <v>1</v>
      </c>
      <c r="J255" s="365">
        <v>1</v>
      </c>
      <c r="K255" s="365">
        <v>1</v>
      </c>
      <c r="L255" s="365">
        <v>0.99770000000000003</v>
      </c>
      <c r="M255" s="365">
        <v>1</v>
      </c>
      <c r="N255" s="365">
        <v>1</v>
      </c>
      <c r="O255" s="365">
        <v>0</v>
      </c>
      <c r="P255" s="365">
        <v>0.5</v>
      </c>
      <c r="Q255" s="366">
        <v>0.95230000000000004</v>
      </c>
      <c r="R255" s="367">
        <v>0</v>
      </c>
      <c r="S255" s="366">
        <v>0.95230000000000004</v>
      </c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8" x14ac:dyDescent="0.3">
      <c r="A256" s="1"/>
      <c r="B256" s="364">
        <v>3</v>
      </c>
      <c r="C256" s="68">
        <v>252</v>
      </c>
      <c r="D256" s="69">
        <v>80673641</v>
      </c>
      <c r="E256" s="69" t="s">
        <v>476</v>
      </c>
      <c r="F256" s="24" t="s">
        <v>674</v>
      </c>
      <c r="G256" s="365">
        <v>1</v>
      </c>
      <c r="H256" s="365">
        <v>1</v>
      </c>
      <c r="I256" s="365">
        <v>1</v>
      </c>
      <c r="J256" s="365">
        <v>0.91249999999999998</v>
      </c>
      <c r="K256" s="365">
        <v>0</v>
      </c>
      <c r="L256" s="365">
        <v>0.99790000000000001</v>
      </c>
      <c r="M256" s="365">
        <v>1</v>
      </c>
      <c r="N256" s="365">
        <v>0.5</v>
      </c>
      <c r="O256" s="365">
        <v>0</v>
      </c>
      <c r="P256" s="365">
        <v>0.5</v>
      </c>
      <c r="Q256" s="366">
        <v>0.85599999999999998</v>
      </c>
      <c r="R256" s="367">
        <v>0</v>
      </c>
      <c r="S256" s="366">
        <v>0.85599999999999998</v>
      </c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8" x14ac:dyDescent="0.3">
      <c r="A257" s="1"/>
      <c r="B257" s="364">
        <v>4</v>
      </c>
      <c r="C257" s="68">
        <v>253</v>
      </c>
      <c r="D257" s="69">
        <v>80665183</v>
      </c>
      <c r="E257" s="69" t="s">
        <v>477</v>
      </c>
      <c r="F257" s="24" t="s">
        <v>674</v>
      </c>
      <c r="G257" s="365">
        <v>1</v>
      </c>
      <c r="H257" s="365">
        <v>1</v>
      </c>
      <c r="I257" s="365">
        <v>1</v>
      </c>
      <c r="J257" s="365">
        <v>0.92320000000000002</v>
      </c>
      <c r="K257" s="365">
        <v>1</v>
      </c>
      <c r="L257" s="365">
        <v>0.94879999999999998</v>
      </c>
      <c r="M257" s="365">
        <v>0.8</v>
      </c>
      <c r="N257" s="365">
        <v>0.5</v>
      </c>
      <c r="O257" s="365">
        <v>0</v>
      </c>
      <c r="P257" s="365">
        <v>1</v>
      </c>
      <c r="Q257" s="366">
        <v>0.85719999999999996</v>
      </c>
      <c r="R257" s="367">
        <v>0</v>
      </c>
      <c r="S257" s="366">
        <v>0.85719999999999996</v>
      </c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8" x14ac:dyDescent="0.3">
      <c r="A258" s="1"/>
      <c r="B258" s="364">
        <v>5</v>
      </c>
      <c r="C258" s="68">
        <v>254</v>
      </c>
      <c r="D258" s="69">
        <v>80661228</v>
      </c>
      <c r="E258" s="69" t="s">
        <v>143</v>
      </c>
      <c r="F258" s="24" t="s">
        <v>637</v>
      </c>
      <c r="G258" s="365">
        <v>1</v>
      </c>
      <c r="H258" s="365">
        <v>1</v>
      </c>
      <c r="I258" s="365">
        <v>1</v>
      </c>
      <c r="J258" s="365">
        <v>1</v>
      </c>
      <c r="K258" s="365">
        <v>1</v>
      </c>
      <c r="L258" s="365">
        <v>1</v>
      </c>
      <c r="M258" s="365">
        <v>1</v>
      </c>
      <c r="N258" s="365">
        <v>1</v>
      </c>
      <c r="O258" s="365">
        <v>0</v>
      </c>
      <c r="P258" s="365">
        <v>0.5</v>
      </c>
      <c r="Q258" s="366">
        <v>0.95499999999999996</v>
      </c>
      <c r="R258" s="367">
        <v>0</v>
      </c>
      <c r="S258" s="366">
        <v>0.95499999999999996</v>
      </c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8" x14ac:dyDescent="0.3">
      <c r="A259" s="1"/>
      <c r="B259" s="364">
        <v>6</v>
      </c>
      <c r="C259" s="68">
        <v>255</v>
      </c>
      <c r="D259" s="69">
        <v>80662063</v>
      </c>
      <c r="E259" s="69" t="s">
        <v>144</v>
      </c>
      <c r="F259" s="24" t="s">
        <v>637</v>
      </c>
      <c r="G259" s="365">
        <v>1</v>
      </c>
      <c r="H259" s="365">
        <v>1</v>
      </c>
      <c r="I259" s="365">
        <v>1</v>
      </c>
      <c r="J259" s="365">
        <v>1</v>
      </c>
      <c r="K259" s="365">
        <v>1</v>
      </c>
      <c r="L259" s="365">
        <v>0.99380000000000002</v>
      </c>
      <c r="M259" s="365">
        <v>0.8</v>
      </c>
      <c r="N259" s="365">
        <v>1</v>
      </c>
      <c r="O259" s="365">
        <v>0</v>
      </c>
      <c r="P259" s="365">
        <v>1</v>
      </c>
      <c r="Q259" s="366">
        <v>0.90939999999999999</v>
      </c>
      <c r="R259" s="367">
        <v>0</v>
      </c>
      <c r="S259" s="366">
        <v>0.90939999999999999</v>
      </c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8" x14ac:dyDescent="0.3">
      <c r="A260" s="1"/>
      <c r="B260" s="364">
        <v>7</v>
      </c>
      <c r="C260" s="68">
        <v>256</v>
      </c>
      <c r="D260" s="69">
        <v>80671872</v>
      </c>
      <c r="E260" s="69" t="s">
        <v>145</v>
      </c>
      <c r="F260" s="24" t="s">
        <v>637</v>
      </c>
      <c r="G260" s="365">
        <v>1</v>
      </c>
      <c r="H260" s="365">
        <v>1</v>
      </c>
      <c r="I260" s="365">
        <v>1</v>
      </c>
      <c r="J260" s="365">
        <v>0.9859</v>
      </c>
      <c r="K260" s="365">
        <v>1</v>
      </c>
      <c r="L260" s="365">
        <v>1</v>
      </c>
      <c r="M260" s="365">
        <v>1</v>
      </c>
      <c r="N260" s="365">
        <v>1</v>
      </c>
      <c r="O260" s="365">
        <v>0</v>
      </c>
      <c r="P260" s="365">
        <v>1</v>
      </c>
      <c r="Q260" s="366">
        <v>0.97860000000000003</v>
      </c>
      <c r="R260" s="367">
        <v>0</v>
      </c>
      <c r="S260" s="366">
        <v>0.97860000000000003</v>
      </c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8" x14ac:dyDescent="0.3">
      <c r="A261" s="1"/>
      <c r="B261" s="364">
        <v>1</v>
      </c>
      <c r="C261" s="68">
        <v>257</v>
      </c>
      <c r="D261" s="69">
        <v>80671865</v>
      </c>
      <c r="E261" s="69" t="s">
        <v>146</v>
      </c>
      <c r="F261" s="24" t="s">
        <v>637</v>
      </c>
      <c r="G261" s="365">
        <v>0.88</v>
      </c>
      <c r="H261" s="365">
        <v>1</v>
      </c>
      <c r="I261" s="365">
        <v>1</v>
      </c>
      <c r="J261" s="365">
        <v>1</v>
      </c>
      <c r="K261" s="365">
        <v>1</v>
      </c>
      <c r="L261" s="365">
        <v>0.98570000000000002</v>
      </c>
      <c r="M261" s="365">
        <v>0.8</v>
      </c>
      <c r="N261" s="365">
        <v>0.5</v>
      </c>
      <c r="O261" s="365">
        <v>0</v>
      </c>
      <c r="P261" s="365">
        <v>1</v>
      </c>
      <c r="Q261" s="366">
        <v>0.85660000000000003</v>
      </c>
      <c r="R261" s="367">
        <v>0</v>
      </c>
      <c r="S261" s="366">
        <v>0.85660000000000003</v>
      </c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8" x14ac:dyDescent="0.3">
      <c r="A262" s="1"/>
      <c r="B262" s="364">
        <v>2</v>
      </c>
      <c r="C262" s="68">
        <v>258</v>
      </c>
      <c r="D262" s="69">
        <v>80667641</v>
      </c>
      <c r="E262" s="69" t="s">
        <v>147</v>
      </c>
      <c r="F262" s="24" t="s">
        <v>637</v>
      </c>
      <c r="G262" s="365">
        <v>1</v>
      </c>
      <c r="H262" s="365">
        <v>1</v>
      </c>
      <c r="I262" s="365">
        <v>1</v>
      </c>
      <c r="J262" s="365">
        <v>1</v>
      </c>
      <c r="K262" s="365">
        <v>1</v>
      </c>
      <c r="L262" s="365">
        <v>0.995</v>
      </c>
      <c r="M262" s="365">
        <v>1</v>
      </c>
      <c r="N262" s="365">
        <v>1</v>
      </c>
      <c r="O262" s="365">
        <v>1</v>
      </c>
      <c r="P262" s="365">
        <v>1</v>
      </c>
      <c r="Q262" s="366">
        <v>0.99950000000000006</v>
      </c>
      <c r="R262" s="367">
        <v>0</v>
      </c>
      <c r="S262" s="366">
        <v>0.99950000000000006</v>
      </c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8" x14ac:dyDescent="0.3">
      <c r="A263" s="1"/>
      <c r="B263" s="364">
        <v>3</v>
      </c>
      <c r="C263" s="68">
        <v>259</v>
      </c>
      <c r="D263" s="69">
        <v>80674460</v>
      </c>
      <c r="E263" s="69" t="s">
        <v>702</v>
      </c>
      <c r="F263" s="24" t="s">
        <v>637</v>
      </c>
      <c r="G263" s="365">
        <v>1</v>
      </c>
      <c r="H263" s="365">
        <v>1</v>
      </c>
      <c r="I263" s="365">
        <v>1</v>
      </c>
      <c r="J263" s="365">
        <v>0.89759999999999995</v>
      </c>
      <c r="K263" s="365">
        <v>1</v>
      </c>
      <c r="L263" s="365">
        <v>1</v>
      </c>
      <c r="M263" s="365">
        <v>1</v>
      </c>
      <c r="N263" s="365">
        <v>0.5</v>
      </c>
      <c r="O263" s="365">
        <v>0</v>
      </c>
      <c r="P263" s="365">
        <v>0.5</v>
      </c>
      <c r="Q263" s="366">
        <v>0.90480000000000005</v>
      </c>
      <c r="R263" s="367">
        <v>0</v>
      </c>
      <c r="S263" s="366">
        <v>0.90480000000000005</v>
      </c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8" x14ac:dyDescent="0.3">
      <c r="A264" s="1"/>
      <c r="B264" s="364">
        <v>4</v>
      </c>
      <c r="C264" s="68">
        <v>260</v>
      </c>
      <c r="D264" s="69">
        <v>80662049</v>
      </c>
      <c r="E264" s="69" t="s">
        <v>278</v>
      </c>
      <c r="F264" s="24" t="s">
        <v>692</v>
      </c>
      <c r="G264" s="365">
        <v>1</v>
      </c>
      <c r="H264" s="365">
        <v>1</v>
      </c>
      <c r="I264" s="365">
        <v>1</v>
      </c>
      <c r="J264" s="365">
        <v>1</v>
      </c>
      <c r="K264" s="365">
        <v>1</v>
      </c>
      <c r="L264" s="365">
        <v>1</v>
      </c>
      <c r="M264" s="365">
        <v>1</v>
      </c>
      <c r="N264" s="365">
        <v>0.5</v>
      </c>
      <c r="O264" s="365">
        <v>0</v>
      </c>
      <c r="P264" s="365">
        <v>0.75</v>
      </c>
      <c r="Q264" s="366">
        <v>0.92749999999999999</v>
      </c>
      <c r="R264" s="367">
        <v>0</v>
      </c>
      <c r="S264" s="366">
        <v>0.92749999999999999</v>
      </c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8" x14ac:dyDescent="0.3">
      <c r="A265" s="1"/>
      <c r="B265" s="364">
        <v>5</v>
      </c>
      <c r="C265" s="68">
        <v>261</v>
      </c>
      <c r="D265" s="69">
        <v>80661192</v>
      </c>
      <c r="E265" s="69" t="s">
        <v>279</v>
      </c>
      <c r="F265" s="24" t="s">
        <v>692</v>
      </c>
      <c r="G265" s="365">
        <v>0.98</v>
      </c>
      <c r="H265" s="365">
        <v>1</v>
      </c>
      <c r="I265" s="365">
        <v>0.98899999999999999</v>
      </c>
      <c r="J265" s="365">
        <v>1</v>
      </c>
      <c r="K265" s="365">
        <v>1</v>
      </c>
      <c r="L265" s="365">
        <v>1</v>
      </c>
      <c r="M265" s="365">
        <v>1</v>
      </c>
      <c r="N265" s="365">
        <v>0.5</v>
      </c>
      <c r="O265" s="365">
        <v>0</v>
      </c>
      <c r="P265" s="365">
        <v>0.5</v>
      </c>
      <c r="Q265" s="366">
        <v>0.91190000000000004</v>
      </c>
      <c r="R265" s="367">
        <v>0</v>
      </c>
      <c r="S265" s="366">
        <v>0.91190000000000004</v>
      </c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8" x14ac:dyDescent="0.3">
      <c r="A266" s="1"/>
      <c r="B266" s="364">
        <v>6</v>
      </c>
      <c r="C266" s="68">
        <v>262</v>
      </c>
      <c r="D266" s="69">
        <v>80662060</v>
      </c>
      <c r="E266" s="69" t="s">
        <v>280</v>
      </c>
      <c r="F266" s="24" t="s">
        <v>692</v>
      </c>
      <c r="G266" s="365">
        <v>0.98</v>
      </c>
      <c r="H266" s="365">
        <v>1</v>
      </c>
      <c r="I266" s="365">
        <v>1</v>
      </c>
      <c r="J266" s="365">
        <v>1</v>
      </c>
      <c r="K266" s="365">
        <v>1</v>
      </c>
      <c r="L266" s="365">
        <v>0.99399999999999999</v>
      </c>
      <c r="M266" s="365">
        <v>0.8</v>
      </c>
      <c r="N266" s="365">
        <v>1</v>
      </c>
      <c r="O266" s="365">
        <v>0</v>
      </c>
      <c r="P266" s="365">
        <v>0.5</v>
      </c>
      <c r="Q266" s="366">
        <v>0.88239999999999996</v>
      </c>
      <c r="R266" s="367">
        <v>0</v>
      </c>
      <c r="S266" s="366">
        <v>0.88239999999999996</v>
      </c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8" x14ac:dyDescent="0.3">
      <c r="A267" s="1"/>
      <c r="B267" s="364">
        <v>7</v>
      </c>
      <c r="C267" s="68">
        <v>263</v>
      </c>
      <c r="D267" s="69">
        <v>80664000</v>
      </c>
      <c r="E267" s="69" t="s">
        <v>281</v>
      </c>
      <c r="F267" s="24" t="s">
        <v>692</v>
      </c>
      <c r="G267" s="365">
        <v>0.98</v>
      </c>
      <c r="H267" s="365">
        <v>0.98</v>
      </c>
      <c r="I267" s="365">
        <v>1</v>
      </c>
      <c r="J267" s="365">
        <v>0.85499999999999998</v>
      </c>
      <c r="K267" s="365">
        <v>1</v>
      </c>
      <c r="L267" s="365">
        <v>0.97660000000000002</v>
      </c>
      <c r="M267" s="365">
        <v>0.8</v>
      </c>
      <c r="N267" s="365">
        <v>0</v>
      </c>
      <c r="O267" s="365">
        <v>0</v>
      </c>
      <c r="P267" s="365">
        <v>0.5</v>
      </c>
      <c r="Q267" s="366">
        <v>0.78520000000000001</v>
      </c>
      <c r="R267" s="367">
        <v>0</v>
      </c>
      <c r="S267" s="366">
        <v>0.78520000000000001</v>
      </c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8" x14ac:dyDescent="0.3">
      <c r="A268" s="1"/>
      <c r="B268" s="364">
        <v>1</v>
      </c>
      <c r="C268" s="68">
        <v>264</v>
      </c>
      <c r="D268" s="69">
        <v>80668926</v>
      </c>
      <c r="E268" s="69" t="s">
        <v>282</v>
      </c>
      <c r="F268" s="24" t="s">
        <v>692</v>
      </c>
      <c r="G268" s="365">
        <v>1</v>
      </c>
      <c r="H268" s="365">
        <v>1</v>
      </c>
      <c r="I268" s="365">
        <v>1</v>
      </c>
      <c r="J268" s="365">
        <v>1</v>
      </c>
      <c r="K268" s="365">
        <v>1</v>
      </c>
      <c r="L268" s="365">
        <v>0.99350000000000005</v>
      </c>
      <c r="M268" s="365">
        <v>1</v>
      </c>
      <c r="N268" s="365">
        <v>1</v>
      </c>
      <c r="O268" s="365">
        <v>0</v>
      </c>
      <c r="P268" s="365">
        <v>0.5</v>
      </c>
      <c r="Q268" s="366">
        <v>0.95440000000000003</v>
      </c>
      <c r="R268" s="367">
        <v>0</v>
      </c>
      <c r="S268" s="366">
        <v>0.95440000000000003</v>
      </c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8" x14ac:dyDescent="0.3">
      <c r="A269" s="1"/>
      <c r="B269" s="364">
        <v>3</v>
      </c>
      <c r="C269" s="68">
        <v>265</v>
      </c>
      <c r="D269" s="69">
        <v>80674472</v>
      </c>
      <c r="E269" s="69" t="s">
        <v>283</v>
      </c>
      <c r="F269" s="24" t="s">
        <v>692</v>
      </c>
      <c r="G269" s="365">
        <v>1</v>
      </c>
      <c r="H269" s="365">
        <v>1</v>
      </c>
      <c r="I269" s="365">
        <v>1</v>
      </c>
      <c r="J269" s="365">
        <v>1</v>
      </c>
      <c r="K269" s="365">
        <v>1</v>
      </c>
      <c r="L269" s="365">
        <v>1</v>
      </c>
      <c r="M269" s="365">
        <v>1</v>
      </c>
      <c r="N269" s="365">
        <v>1</v>
      </c>
      <c r="O269" s="365">
        <v>0</v>
      </c>
      <c r="P269" s="365">
        <v>0.5</v>
      </c>
      <c r="Q269" s="366">
        <v>0.95499999999999996</v>
      </c>
      <c r="R269" s="367">
        <v>0</v>
      </c>
      <c r="S269" s="366">
        <v>0.95499999999999996</v>
      </c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8" x14ac:dyDescent="0.3">
      <c r="A270" s="1"/>
      <c r="B270" s="364">
        <v>4</v>
      </c>
      <c r="C270" s="68">
        <v>266</v>
      </c>
      <c r="D270" s="69">
        <v>80673110</v>
      </c>
      <c r="E270" s="69" t="s">
        <v>244</v>
      </c>
      <c r="F270" s="24" t="s">
        <v>658</v>
      </c>
      <c r="G270" s="365">
        <v>1</v>
      </c>
      <c r="H270" s="365">
        <v>1</v>
      </c>
      <c r="I270" s="365">
        <v>1</v>
      </c>
      <c r="J270" s="365">
        <v>1</v>
      </c>
      <c r="K270" s="365">
        <v>1</v>
      </c>
      <c r="L270" s="365">
        <v>0.99629999999999996</v>
      </c>
      <c r="M270" s="365">
        <v>1</v>
      </c>
      <c r="N270" s="365">
        <v>1</v>
      </c>
      <c r="O270" s="365">
        <v>0</v>
      </c>
      <c r="P270" s="365">
        <v>1</v>
      </c>
      <c r="Q270" s="366">
        <v>0.97960000000000003</v>
      </c>
      <c r="R270" s="367">
        <v>0</v>
      </c>
      <c r="S270" s="366">
        <v>0.97960000000000003</v>
      </c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8" x14ac:dyDescent="0.3">
      <c r="A271" s="1"/>
      <c r="B271" s="364">
        <v>5</v>
      </c>
      <c r="C271" s="68">
        <v>267</v>
      </c>
      <c r="D271" s="69">
        <v>80673124</v>
      </c>
      <c r="E271" s="69" t="s">
        <v>245</v>
      </c>
      <c r="F271" s="24" t="s">
        <v>658</v>
      </c>
      <c r="G271" s="365">
        <v>0.98</v>
      </c>
      <c r="H271" s="365">
        <v>1</v>
      </c>
      <c r="I271" s="365">
        <v>1</v>
      </c>
      <c r="J271" s="365">
        <v>1</v>
      </c>
      <c r="K271" s="365">
        <v>1</v>
      </c>
      <c r="L271" s="365">
        <v>0.99790000000000001</v>
      </c>
      <c r="M271" s="365">
        <v>1</v>
      </c>
      <c r="N271" s="365">
        <v>1</v>
      </c>
      <c r="O271" s="365">
        <v>0</v>
      </c>
      <c r="P271" s="365">
        <v>1</v>
      </c>
      <c r="Q271" s="366">
        <v>0.9778</v>
      </c>
      <c r="R271" s="367">
        <v>0</v>
      </c>
      <c r="S271" s="366">
        <v>0.9778</v>
      </c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8" x14ac:dyDescent="0.3">
      <c r="A272" s="1"/>
      <c r="B272" s="364">
        <v>6</v>
      </c>
      <c r="C272" s="68">
        <v>268</v>
      </c>
      <c r="D272" s="69">
        <v>80672808</v>
      </c>
      <c r="E272" s="69" t="s">
        <v>246</v>
      </c>
      <c r="F272" s="24" t="s">
        <v>658</v>
      </c>
      <c r="G272" s="365">
        <v>1</v>
      </c>
      <c r="H272" s="365">
        <v>1</v>
      </c>
      <c r="I272" s="365">
        <v>1</v>
      </c>
      <c r="J272" s="365">
        <v>1</v>
      </c>
      <c r="K272" s="365">
        <v>1</v>
      </c>
      <c r="L272" s="365">
        <v>1</v>
      </c>
      <c r="M272" s="365">
        <v>1</v>
      </c>
      <c r="N272" s="365">
        <v>1</v>
      </c>
      <c r="O272" s="365">
        <v>0</v>
      </c>
      <c r="P272" s="365">
        <v>1</v>
      </c>
      <c r="Q272" s="366">
        <v>0.98</v>
      </c>
      <c r="R272" s="367">
        <v>0</v>
      </c>
      <c r="S272" s="366">
        <v>0.98</v>
      </c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8" x14ac:dyDescent="0.3">
      <c r="A273" s="1"/>
      <c r="B273" s="364">
        <v>7</v>
      </c>
      <c r="C273" s="68">
        <v>269</v>
      </c>
      <c r="D273" s="69">
        <v>80660886</v>
      </c>
      <c r="E273" s="69" t="s">
        <v>247</v>
      </c>
      <c r="F273" s="24" t="s">
        <v>658</v>
      </c>
      <c r="G273" s="365">
        <v>0.98</v>
      </c>
      <c r="H273" s="365">
        <v>1</v>
      </c>
      <c r="I273" s="365">
        <v>1</v>
      </c>
      <c r="J273" s="365">
        <v>1</v>
      </c>
      <c r="K273" s="365">
        <v>1</v>
      </c>
      <c r="L273" s="365">
        <v>1</v>
      </c>
      <c r="M273" s="365">
        <v>1</v>
      </c>
      <c r="N273" s="365">
        <v>0.5</v>
      </c>
      <c r="O273" s="365">
        <v>0</v>
      </c>
      <c r="P273" s="365">
        <v>1</v>
      </c>
      <c r="Q273" s="366">
        <v>0.93799999999999994</v>
      </c>
      <c r="R273" s="367">
        <v>0</v>
      </c>
      <c r="S273" s="366">
        <v>0.93799999999999994</v>
      </c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8" x14ac:dyDescent="0.3">
      <c r="A274" s="1"/>
      <c r="B274" s="364">
        <v>8</v>
      </c>
      <c r="C274" s="68">
        <v>270</v>
      </c>
      <c r="D274" s="69">
        <v>80667649</v>
      </c>
      <c r="E274" s="69" t="s">
        <v>248</v>
      </c>
      <c r="F274" s="24" t="s">
        <v>658</v>
      </c>
      <c r="G274" s="365">
        <v>0.98</v>
      </c>
      <c r="H274" s="365">
        <v>1</v>
      </c>
      <c r="I274" s="365">
        <v>1</v>
      </c>
      <c r="J274" s="365">
        <v>0.89290000000000003</v>
      </c>
      <c r="K274" s="365">
        <v>1</v>
      </c>
      <c r="L274" s="365">
        <v>0.98199999999999998</v>
      </c>
      <c r="M274" s="365">
        <v>0.8</v>
      </c>
      <c r="N274" s="365">
        <v>0</v>
      </c>
      <c r="O274" s="365">
        <v>0</v>
      </c>
      <c r="P274" s="365">
        <v>0.5</v>
      </c>
      <c r="Q274" s="366">
        <v>0.79049999999999998</v>
      </c>
      <c r="R274" s="367">
        <v>0</v>
      </c>
      <c r="S274" s="366">
        <v>0.79049999999999998</v>
      </c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8" x14ac:dyDescent="0.3">
      <c r="A275" s="1"/>
      <c r="B275" s="364">
        <v>1</v>
      </c>
      <c r="C275" s="68">
        <v>271</v>
      </c>
      <c r="D275" s="69">
        <v>80665329</v>
      </c>
      <c r="E275" s="69" t="s">
        <v>357</v>
      </c>
      <c r="F275" s="24" t="s">
        <v>620</v>
      </c>
      <c r="G275" s="365">
        <v>1</v>
      </c>
      <c r="H275" s="365">
        <v>1</v>
      </c>
      <c r="I275" s="365">
        <v>1</v>
      </c>
      <c r="J275" s="365">
        <v>1</v>
      </c>
      <c r="K275" s="365">
        <v>1</v>
      </c>
      <c r="L275" s="365">
        <v>1</v>
      </c>
      <c r="M275" s="365">
        <v>1</v>
      </c>
      <c r="N275" s="365">
        <v>1</v>
      </c>
      <c r="O275" s="365">
        <v>0</v>
      </c>
      <c r="P275" s="365">
        <v>0.75</v>
      </c>
      <c r="Q275" s="366">
        <v>0.96750000000000003</v>
      </c>
      <c r="R275" s="367">
        <v>0</v>
      </c>
      <c r="S275" s="366">
        <v>0.96750000000000003</v>
      </c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8" x14ac:dyDescent="0.3">
      <c r="A276" s="1"/>
      <c r="B276" s="364">
        <v>2</v>
      </c>
      <c r="C276" s="68">
        <v>272</v>
      </c>
      <c r="D276" s="69">
        <v>80664558</v>
      </c>
      <c r="E276" s="69" t="s">
        <v>358</v>
      </c>
      <c r="F276" s="24" t="s">
        <v>620</v>
      </c>
      <c r="G276" s="365">
        <v>0.96</v>
      </c>
      <c r="H276" s="365">
        <v>1</v>
      </c>
      <c r="I276" s="365">
        <v>1</v>
      </c>
      <c r="J276" s="365">
        <v>1</v>
      </c>
      <c r="K276" s="365">
        <v>1</v>
      </c>
      <c r="L276" s="365">
        <v>0.99770000000000003</v>
      </c>
      <c r="M276" s="365">
        <v>1</v>
      </c>
      <c r="N276" s="365">
        <v>1</v>
      </c>
      <c r="O276" s="365">
        <v>0</v>
      </c>
      <c r="P276" s="365">
        <v>1</v>
      </c>
      <c r="Q276" s="366">
        <v>0.9758</v>
      </c>
      <c r="R276" s="367">
        <v>0</v>
      </c>
      <c r="S276" s="366">
        <v>0.9758</v>
      </c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8" x14ac:dyDescent="0.3">
      <c r="A277" s="1"/>
      <c r="B277" s="364">
        <v>3</v>
      </c>
      <c r="C277" s="68">
        <v>273</v>
      </c>
      <c r="D277" s="69">
        <v>80672848</v>
      </c>
      <c r="E277" s="69" t="s">
        <v>359</v>
      </c>
      <c r="F277" s="24" t="s">
        <v>620</v>
      </c>
      <c r="G277" s="365">
        <v>1</v>
      </c>
      <c r="H277" s="365">
        <v>1</v>
      </c>
      <c r="I277" s="365">
        <v>1</v>
      </c>
      <c r="J277" s="365">
        <v>1</v>
      </c>
      <c r="K277" s="365">
        <v>1</v>
      </c>
      <c r="L277" s="365">
        <v>1</v>
      </c>
      <c r="M277" s="365">
        <v>1</v>
      </c>
      <c r="N277" s="365">
        <v>1</v>
      </c>
      <c r="O277" s="365">
        <v>1</v>
      </c>
      <c r="P277" s="365">
        <v>1</v>
      </c>
      <c r="Q277" s="366">
        <v>1</v>
      </c>
      <c r="R277" s="367">
        <v>0</v>
      </c>
      <c r="S277" s="366">
        <v>1</v>
      </c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8" x14ac:dyDescent="0.3">
      <c r="A278" s="1"/>
      <c r="B278" s="364">
        <v>4</v>
      </c>
      <c r="C278" s="68">
        <v>274</v>
      </c>
      <c r="D278" s="69">
        <v>80659419</v>
      </c>
      <c r="E278" s="69" t="s">
        <v>360</v>
      </c>
      <c r="F278" s="24" t="s">
        <v>620</v>
      </c>
      <c r="G278" s="365">
        <v>0.98</v>
      </c>
      <c r="H278" s="365">
        <v>0.99</v>
      </c>
      <c r="I278" s="365">
        <v>1</v>
      </c>
      <c r="J278" s="365">
        <v>1</v>
      </c>
      <c r="K278" s="365">
        <v>1</v>
      </c>
      <c r="L278" s="365">
        <v>0.99790000000000001</v>
      </c>
      <c r="M278" s="365">
        <v>0.5</v>
      </c>
      <c r="N278" s="365">
        <v>1</v>
      </c>
      <c r="O278" s="365">
        <v>0</v>
      </c>
      <c r="P278" s="365">
        <v>0.5</v>
      </c>
      <c r="Q278" s="366">
        <v>0.77729999999999999</v>
      </c>
      <c r="R278" s="367">
        <v>0</v>
      </c>
      <c r="S278" s="366">
        <v>0.77729999999999999</v>
      </c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8" x14ac:dyDescent="0.3">
      <c r="A279" s="1"/>
      <c r="B279" s="364">
        <v>5</v>
      </c>
      <c r="C279" s="68">
        <v>275</v>
      </c>
      <c r="D279" s="69">
        <v>80671800</v>
      </c>
      <c r="E279" s="69" t="s">
        <v>361</v>
      </c>
      <c r="F279" s="24" t="s">
        <v>620</v>
      </c>
      <c r="G279" s="365">
        <v>1</v>
      </c>
      <c r="H279" s="365">
        <v>1</v>
      </c>
      <c r="I279" s="365">
        <v>1</v>
      </c>
      <c r="J279" s="365">
        <v>0.98129999999999995</v>
      </c>
      <c r="K279" s="365">
        <v>1</v>
      </c>
      <c r="L279" s="365">
        <v>0.98229999999999995</v>
      </c>
      <c r="M279" s="365">
        <v>0.8</v>
      </c>
      <c r="N279" s="365">
        <v>1</v>
      </c>
      <c r="O279" s="365">
        <v>1</v>
      </c>
      <c r="P279" s="365">
        <v>1</v>
      </c>
      <c r="Q279" s="366">
        <v>0.9264</v>
      </c>
      <c r="R279" s="367">
        <v>0</v>
      </c>
      <c r="S279" s="366">
        <v>0.9264</v>
      </c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8" x14ac:dyDescent="0.3">
      <c r="A280" s="1"/>
      <c r="B280" s="364">
        <v>6</v>
      </c>
      <c r="C280" s="68">
        <v>276</v>
      </c>
      <c r="D280" s="69">
        <v>80666872</v>
      </c>
      <c r="E280" s="69" t="s">
        <v>569</v>
      </c>
      <c r="F280" s="24" t="s">
        <v>632</v>
      </c>
      <c r="G280" s="365">
        <v>1</v>
      </c>
      <c r="H280" s="365">
        <v>1</v>
      </c>
      <c r="I280" s="365">
        <v>1</v>
      </c>
      <c r="J280" s="365">
        <v>1</v>
      </c>
      <c r="K280" s="365">
        <v>1</v>
      </c>
      <c r="L280" s="365">
        <v>1</v>
      </c>
      <c r="M280" s="365">
        <v>1</v>
      </c>
      <c r="N280" s="365">
        <v>1</v>
      </c>
      <c r="O280" s="365">
        <v>1</v>
      </c>
      <c r="P280" s="365">
        <v>1</v>
      </c>
      <c r="Q280" s="366">
        <v>1</v>
      </c>
      <c r="R280" s="367">
        <v>0</v>
      </c>
      <c r="S280" s="366">
        <v>1</v>
      </c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8" x14ac:dyDescent="0.3">
      <c r="A281" s="1"/>
      <c r="B281" s="364">
        <v>7</v>
      </c>
      <c r="C281" s="68">
        <v>277</v>
      </c>
      <c r="D281" s="69">
        <v>80660872</v>
      </c>
      <c r="E281" s="69" t="s">
        <v>570</v>
      </c>
      <c r="F281" s="24" t="s">
        <v>632</v>
      </c>
      <c r="G281" s="365">
        <v>0.96</v>
      </c>
      <c r="H281" s="365">
        <v>0.99</v>
      </c>
      <c r="I281" s="365">
        <v>0.9829</v>
      </c>
      <c r="J281" s="365">
        <v>1</v>
      </c>
      <c r="K281" s="365">
        <v>1</v>
      </c>
      <c r="L281" s="365">
        <v>0.98719999999999997</v>
      </c>
      <c r="M281" s="365">
        <v>1</v>
      </c>
      <c r="N281" s="365">
        <v>0</v>
      </c>
      <c r="O281" s="365">
        <v>0</v>
      </c>
      <c r="P281" s="365">
        <v>1</v>
      </c>
      <c r="Q281" s="366">
        <v>0.89249999999999996</v>
      </c>
      <c r="R281" s="367">
        <v>0</v>
      </c>
      <c r="S281" s="366">
        <v>0.89249999999999996</v>
      </c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8" x14ac:dyDescent="0.3">
      <c r="A282" s="1"/>
      <c r="B282" s="364">
        <v>8</v>
      </c>
      <c r="C282" s="68">
        <v>278</v>
      </c>
      <c r="D282" s="69">
        <v>80663081</v>
      </c>
      <c r="E282" s="69" t="s">
        <v>571</v>
      </c>
      <c r="F282" s="24" t="s">
        <v>632</v>
      </c>
      <c r="G282" s="365">
        <v>0.98</v>
      </c>
      <c r="H282" s="365">
        <v>1</v>
      </c>
      <c r="I282" s="365">
        <v>1</v>
      </c>
      <c r="J282" s="365">
        <v>0.97719999999999996</v>
      </c>
      <c r="K282" s="365">
        <v>1</v>
      </c>
      <c r="L282" s="365">
        <v>1</v>
      </c>
      <c r="M282" s="365">
        <v>1</v>
      </c>
      <c r="N282" s="365">
        <v>0.5</v>
      </c>
      <c r="O282" s="365">
        <v>0</v>
      </c>
      <c r="P282" s="365">
        <v>1</v>
      </c>
      <c r="Q282" s="366">
        <v>0.93569999999999998</v>
      </c>
      <c r="R282" s="367">
        <v>0</v>
      </c>
      <c r="S282" s="366">
        <v>0.93569999999999998</v>
      </c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8" x14ac:dyDescent="0.3">
      <c r="A283" s="1"/>
      <c r="B283" s="364">
        <v>1</v>
      </c>
      <c r="C283" s="68">
        <v>279</v>
      </c>
      <c r="D283" s="69">
        <v>80660889</v>
      </c>
      <c r="E283" s="69" t="s">
        <v>572</v>
      </c>
      <c r="F283" s="24" t="s">
        <v>632</v>
      </c>
      <c r="G283" s="365">
        <v>1</v>
      </c>
      <c r="H283" s="365">
        <v>1</v>
      </c>
      <c r="I283" s="365">
        <v>1</v>
      </c>
      <c r="J283" s="365">
        <v>1</v>
      </c>
      <c r="K283" s="365">
        <v>1</v>
      </c>
      <c r="L283" s="365">
        <v>0.96640000000000004</v>
      </c>
      <c r="M283" s="365">
        <v>0.8</v>
      </c>
      <c r="N283" s="365">
        <v>1</v>
      </c>
      <c r="O283" s="365">
        <v>1</v>
      </c>
      <c r="P283" s="365">
        <v>1</v>
      </c>
      <c r="Q283" s="366">
        <v>0.92659999999999998</v>
      </c>
      <c r="R283" s="367">
        <v>0</v>
      </c>
      <c r="S283" s="366">
        <v>0.92659999999999998</v>
      </c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8" x14ac:dyDescent="0.3">
      <c r="A284" s="1"/>
      <c r="B284" s="364">
        <v>2</v>
      </c>
      <c r="C284" s="68">
        <v>280</v>
      </c>
      <c r="D284" s="69">
        <v>80673628</v>
      </c>
      <c r="E284" s="69" t="s">
        <v>573</v>
      </c>
      <c r="F284" s="24" t="s">
        <v>632</v>
      </c>
      <c r="G284" s="365">
        <v>0.98</v>
      </c>
      <c r="H284" s="365">
        <v>1</v>
      </c>
      <c r="I284" s="365">
        <v>1</v>
      </c>
      <c r="J284" s="365">
        <v>0.94840000000000002</v>
      </c>
      <c r="K284" s="365">
        <v>1</v>
      </c>
      <c r="L284" s="365">
        <v>0.99439999999999995</v>
      </c>
      <c r="M284" s="365">
        <v>0.8</v>
      </c>
      <c r="N284" s="365">
        <v>0</v>
      </c>
      <c r="O284" s="365">
        <v>0</v>
      </c>
      <c r="P284" s="365">
        <v>1</v>
      </c>
      <c r="Q284" s="366">
        <v>0.82230000000000003</v>
      </c>
      <c r="R284" s="367">
        <v>0</v>
      </c>
      <c r="S284" s="366">
        <v>0.82230000000000003</v>
      </c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8" x14ac:dyDescent="0.3">
      <c r="A285" s="1"/>
      <c r="B285" s="364">
        <v>3</v>
      </c>
      <c r="C285" s="68">
        <v>281</v>
      </c>
      <c r="D285" s="69">
        <v>80660287</v>
      </c>
      <c r="E285" s="69" t="s">
        <v>198</v>
      </c>
      <c r="F285" s="24" t="s">
        <v>631</v>
      </c>
      <c r="G285" s="365">
        <v>1</v>
      </c>
      <c r="H285" s="365">
        <v>1</v>
      </c>
      <c r="I285" s="365">
        <v>1</v>
      </c>
      <c r="J285" s="365">
        <v>1</v>
      </c>
      <c r="K285" s="365">
        <v>1</v>
      </c>
      <c r="L285" s="365">
        <v>0.99229999999999996</v>
      </c>
      <c r="M285" s="365">
        <v>1</v>
      </c>
      <c r="N285" s="365">
        <v>1</v>
      </c>
      <c r="O285" s="365">
        <v>0</v>
      </c>
      <c r="P285" s="365">
        <v>1</v>
      </c>
      <c r="Q285" s="366">
        <v>0.97919999999999996</v>
      </c>
      <c r="R285" s="367">
        <v>0</v>
      </c>
      <c r="S285" s="366">
        <v>0.97919999999999996</v>
      </c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8" x14ac:dyDescent="0.3">
      <c r="A286" s="1"/>
      <c r="B286" s="364">
        <v>4</v>
      </c>
      <c r="C286" s="68">
        <v>282</v>
      </c>
      <c r="D286" s="69">
        <v>80672645</v>
      </c>
      <c r="E286" s="69" t="s">
        <v>199</v>
      </c>
      <c r="F286" s="24" t="s">
        <v>631</v>
      </c>
      <c r="G286" s="365">
        <v>0.98</v>
      </c>
      <c r="H286" s="365">
        <v>0.99</v>
      </c>
      <c r="I286" s="365">
        <v>1</v>
      </c>
      <c r="J286" s="365">
        <v>1</v>
      </c>
      <c r="K286" s="365">
        <v>1</v>
      </c>
      <c r="L286" s="365">
        <v>1</v>
      </c>
      <c r="M286" s="365">
        <v>1</v>
      </c>
      <c r="N286" s="365">
        <v>1</v>
      </c>
      <c r="O286" s="365">
        <v>0</v>
      </c>
      <c r="P286" s="365">
        <v>1</v>
      </c>
      <c r="Q286" s="366">
        <v>0.97750000000000004</v>
      </c>
      <c r="R286" s="367">
        <v>0</v>
      </c>
      <c r="S286" s="366">
        <v>0.97750000000000004</v>
      </c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8" x14ac:dyDescent="0.3">
      <c r="A287" s="1"/>
      <c r="B287" s="364">
        <v>5</v>
      </c>
      <c r="C287" s="68">
        <v>283</v>
      </c>
      <c r="D287" s="69">
        <v>80664539</v>
      </c>
      <c r="E287" s="69" t="s">
        <v>200</v>
      </c>
      <c r="F287" s="24" t="s">
        <v>631</v>
      </c>
      <c r="G287" s="365">
        <v>1</v>
      </c>
      <c r="H287" s="365">
        <v>1</v>
      </c>
      <c r="I287" s="365">
        <v>1</v>
      </c>
      <c r="J287" s="365">
        <v>1</v>
      </c>
      <c r="K287" s="365">
        <v>1</v>
      </c>
      <c r="L287" s="365">
        <v>0.99229999999999996</v>
      </c>
      <c r="M287" s="365">
        <v>1</v>
      </c>
      <c r="N287" s="365">
        <v>1</v>
      </c>
      <c r="O287" s="365">
        <v>0</v>
      </c>
      <c r="P287" s="365">
        <v>1</v>
      </c>
      <c r="Q287" s="366">
        <v>0.97919999999999996</v>
      </c>
      <c r="R287" s="367">
        <v>0</v>
      </c>
      <c r="S287" s="366">
        <v>0.97919999999999996</v>
      </c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8" x14ac:dyDescent="0.3">
      <c r="A288" s="1"/>
      <c r="B288" s="364">
        <v>6</v>
      </c>
      <c r="C288" s="68">
        <v>284</v>
      </c>
      <c r="D288" s="69">
        <v>80664154</v>
      </c>
      <c r="E288" s="69" t="s">
        <v>201</v>
      </c>
      <c r="F288" s="24" t="s">
        <v>631</v>
      </c>
      <c r="G288" s="365">
        <v>1</v>
      </c>
      <c r="H288" s="365">
        <v>1</v>
      </c>
      <c r="I288" s="365">
        <v>1</v>
      </c>
      <c r="J288" s="365">
        <v>1</v>
      </c>
      <c r="K288" s="365">
        <v>1</v>
      </c>
      <c r="L288" s="365">
        <v>0.99229999999999996</v>
      </c>
      <c r="M288" s="365">
        <v>1</v>
      </c>
      <c r="N288" s="365">
        <v>0.5</v>
      </c>
      <c r="O288" s="365">
        <v>0</v>
      </c>
      <c r="P288" s="365">
        <v>1</v>
      </c>
      <c r="Q288" s="366">
        <v>0.93920000000000003</v>
      </c>
      <c r="R288" s="367">
        <v>0</v>
      </c>
      <c r="S288" s="366">
        <v>0.93920000000000003</v>
      </c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8" x14ac:dyDescent="0.3">
      <c r="A289" s="1"/>
      <c r="B289" s="364">
        <v>7</v>
      </c>
      <c r="C289" s="68">
        <v>285</v>
      </c>
      <c r="D289" s="69">
        <v>80672155</v>
      </c>
      <c r="E289" s="69" t="s">
        <v>202</v>
      </c>
      <c r="F289" s="24" t="s">
        <v>631</v>
      </c>
      <c r="G289" s="365">
        <v>1</v>
      </c>
      <c r="H289" s="365">
        <v>1</v>
      </c>
      <c r="I289" s="365">
        <v>1</v>
      </c>
      <c r="J289" s="365">
        <v>1</v>
      </c>
      <c r="K289" s="365">
        <v>1</v>
      </c>
      <c r="L289" s="365">
        <v>1</v>
      </c>
      <c r="M289" s="365">
        <v>1</v>
      </c>
      <c r="N289" s="365">
        <v>1</v>
      </c>
      <c r="O289" s="365">
        <v>1</v>
      </c>
      <c r="P289" s="365">
        <v>1</v>
      </c>
      <c r="Q289" s="366">
        <v>1</v>
      </c>
      <c r="R289" s="367">
        <v>0</v>
      </c>
      <c r="S289" s="366">
        <v>1</v>
      </c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8" x14ac:dyDescent="0.3">
      <c r="A290" s="1"/>
      <c r="B290" s="364">
        <v>8</v>
      </c>
      <c r="C290" s="68">
        <v>286</v>
      </c>
      <c r="D290" s="69">
        <v>80672809</v>
      </c>
      <c r="E290" s="69" t="s">
        <v>203</v>
      </c>
      <c r="F290" s="24" t="s">
        <v>631</v>
      </c>
      <c r="G290" s="365">
        <v>0.98</v>
      </c>
      <c r="H290" s="365">
        <v>1</v>
      </c>
      <c r="I290" s="365">
        <v>1</v>
      </c>
      <c r="J290" s="365">
        <v>1</v>
      </c>
      <c r="K290" s="365">
        <v>1</v>
      </c>
      <c r="L290" s="365">
        <v>0.99329999999999996</v>
      </c>
      <c r="M290" s="365">
        <v>0.8</v>
      </c>
      <c r="N290" s="365">
        <v>0.5</v>
      </c>
      <c r="O290" s="365">
        <v>0</v>
      </c>
      <c r="P290" s="365">
        <v>1</v>
      </c>
      <c r="Q290" s="366">
        <v>0.86729999999999996</v>
      </c>
      <c r="R290" s="367">
        <v>0</v>
      </c>
      <c r="S290" s="366">
        <v>0.86729999999999996</v>
      </c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8" x14ac:dyDescent="0.3">
      <c r="A291" s="1"/>
      <c r="B291" s="364">
        <v>1</v>
      </c>
      <c r="C291" s="68">
        <v>287</v>
      </c>
      <c r="D291" s="69">
        <v>80668045</v>
      </c>
      <c r="E291" s="69" t="s">
        <v>173</v>
      </c>
      <c r="F291" s="24" t="s">
        <v>622</v>
      </c>
      <c r="G291" s="365">
        <v>1</v>
      </c>
      <c r="H291" s="365">
        <v>1</v>
      </c>
      <c r="I291" s="365">
        <v>1</v>
      </c>
      <c r="J291" s="365">
        <v>1</v>
      </c>
      <c r="K291" s="365">
        <v>1</v>
      </c>
      <c r="L291" s="365">
        <v>1</v>
      </c>
      <c r="M291" s="365">
        <v>1</v>
      </c>
      <c r="N291" s="365">
        <v>1</v>
      </c>
      <c r="O291" s="365">
        <v>1</v>
      </c>
      <c r="P291" s="365">
        <v>1</v>
      </c>
      <c r="Q291" s="366">
        <v>1</v>
      </c>
      <c r="R291" s="367">
        <v>0</v>
      </c>
      <c r="S291" s="366">
        <v>1</v>
      </c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8" x14ac:dyDescent="0.3">
      <c r="A292" s="1"/>
      <c r="B292" s="364">
        <v>2</v>
      </c>
      <c r="C292" s="68">
        <v>288</v>
      </c>
      <c r="D292" s="69">
        <v>80670977</v>
      </c>
      <c r="E292" s="69" t="s">
        <v>174</v>
      </c>
      <c r="F292" s="24" t="s">
        <v>622</v>
      </c>
      <c r="G292" s="365">
        <v>0.98</v>
      </c>
      <c r="H292" s="365">
        <v>0.98</v>
      </c>
      <c r="I292" s="365">
        <v>1</v>
      </c>
      <c r="J292" s="365">
        <v>1</v>
      </c>
      <c r="K292" s="365">
        <v>1</v>
      </c>
      <c r="L292" s="365">
        <v>1</v>
      </c>
      <c r="M292" s="365">
        <v>1</v>
      </c>
      <c r="N292" s="365">
        <v>1</v>
      </c>
      <c r="O292" s="365">
        <v>0</v>
      </c>
      <c r="P292" s="365">
        <v>0.5</v>
      </c>
      <c r="Q292" s="366">
        <v>0.95199999999999996</v>
      </c>
      <c r="R292" s="367">
        <v>0</v>
      </c>
      <c r="S292" s="366">
        <v>0.95199999999999996</v>
      </c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8" x14ac:dyDescent="0.3">
      <c r="A293" s="1"/>
      <c r="B293" s="364">
        <v>3</v>
      </c>
      <c r="C293" s="68">
        <v>289</v>
      </c>
      <c r="D293" s="69">
        <v>80659776</v>
      </c>
      <c r="E293" s="69" t="s">
        <v>175</v>
      </c>
      <c r="F293" s="24" t="s">
        <v>622</v>
      </c>
      <c r="G293" s="365">
        <v>0.98</v>
      </c>
      <c r="H293" s="365">
        <v>1</v>
      </c>
      <c r="I293" s="365">
        <v>1</v>
      </c>
      <c r="J293" s="365">
        <v>1</v>
      </c>
      <c r="K293" s="365">
        <v>1</v>
      </c>
      <c r="L293" s="365">
        <v>0.99829999999999997</v>
      </c>
      <c r="M293" s="365">
        <v>1</v>
      </c>
      <c r="N293" s="365">
        <v>0.5</v>
      </c>
      <c r="O293" s="365">
        <v>1</v>
      </c>
      <c r="P293" s="365">
        <v>0.5</v>
      </c>
      <c r="Q293" s="366">
        <v>0.93279999999999996</v>
      </c>
      <c r="R293" s="367">
        <v>0</v>
      </c>
      <c r="S293" s="366">
        <v>0.93279999999999996</v>
      </c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8" x14ac:dyDescent="0.3">
      <c r="A294" s="1"/>
      <c r="B294" s="364">
        <v>4</v>
      </c>
      <c r="C294" s="68">
        <v>290</v>
      </c>
      <c r="D294" s="69">
        <v>80658939</v>
      </c>
      <c r="E294" s="69" t="s">
        <v>176</v>
      </c>
      <c r="F294" s="24" t="s">
        <v>622</v>
      </c>
      <c r="G294" s="365">
        <v>0.98</v>
      </c>
      <c r="H294" s="365">
        <v>0.99</v>
      </c>
      <c r="I294" s="365">
        <v>1</v>
      </c>
      <c r="J294" s="365">
        <v>1</v>
      </c>
      <c r="K294" s="365">
        <v>1</v>
      </c>
      <c r="L294" s="365">
        <v>1</v>
      </c>
      <c r="M294" s="365">
        <v>1</v>
      </c>
      <c r="N294" s="365">
        <v>0.5</v>
      </c>
      <c r="O294" s="365">
        <v>0</v>
      </c>
      <c r="P294" s="365">
        <v>1</v>
      </c>
      <c r="Q294" s="366">
        <v>0.9375</v>
      </c>
      <c r="R294" s="367">
        <v>0</v>
      </c>
      <c r="S294" s="366">
        <v>0.9375</v>
      </c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8" x14ac:dyDescent="0.3">
      <c r="A295" s="1"/>
      <c r="B295" s="364">
        <v>5</v>
      </c>
      <c r="C295" s="68">
        <v>291</v>
      </c>
      <c r="D295" s="69">
        <v>80673638</v>
      </c>
      <c r="E295" s="69" t="s">
        <v>511</v>
      </c>
      <c r="F295" s="24" t="s">
        <v>693</v>
      </c>
      <c r="G295" s="365">
        <v>1</v>
      </c>
      <c r="H295" s="365">
        <v>1</v>
      </c>
      <c r="I295" s="365">
        <v>1</v>
      </c>
      <c r="J295" s="365">
        <v>0.9839</v>
      </c>
      <c r="K295" s="365">
        <v>0</v>
      </c>
      <c r="L295" s="365">
        <v>1</v>
      </c>
      <c r="M295" s="365">
        <v>1</v>
      </c>
      <c r="N295" s="365">
        <v>0.5</v>
      </c>
      <c r="O295" s="365">
        <v>1</v>
      </c>
      <c r="P295" s="365">
        <v>0.5</v>
      </c>
      <c r="Q295" s="366">
        <v>0.88339999999999996</v>
      </c>
      <c r="R295" s="367">
        <v>0</v>
      </c>
      <c r="S295" s="366">
        <v>0.88339999999999996</v>
      </c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8" x14ac:dyDescent="0.3">
      <c r="A296" s="1"/>
      <c r="B296" s="364">
        <v>6</v>
      </c>
      <c r="C296" s="68">
        <v>292</v>
      </c>
      <c r="D296" s="69">
        <v>80673616</v>
      </c>
      <c r="E296" s="69" t="s">
        <v>512</v>
      </c>
      <c r="F296" s="24" t="s">
        <v>693</v>
      </c>
      <c r="G296" s="365">
        <v>1</v>
      </c>
      <c r="H296" s="365">
        <v>1</v>
      </c>
      <c r="I296" s="365">
        <v>1</v>
      </c>
      <c r="J296" s="365">
        <v>1</v>
      </c>
      <c r="K296" s="365">
        <v>1</v>
      </c>
      <c r="L296" s="365">
        <v>0.99790000000000001</v>
      </c>
      <c r="M296" s="365">
        <v>1</v>
      </c>
      <c r="N296" s="365">
        <v>1</v>
      </c>
      <c r="O296" s="365">
        <v>0</v>
      </c>
      <c r="P296" s="365">
        <v>0.5</v>
      </c>
      <c r="Q296" s="366">
        <v>0.95479999999999998</v>
      </c>
      <c r="R296" s="367">
        <v>0</v>
      </c>
      <c r="S296" s="366">
        <v>0.95479999999999998</v>
      </c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8" x14ac:dyDescent="0.3">
      <c r="A297" s="1"/>
      <c r="B297" s="364">
        <v>7</v>
      </c>
      <c r="C297" s="68">
        <v>293</v>
      </c>
      <c r="D297" s="69">
        <v>80665338</v>
      </c>
      <c r="E297" s="69" t="s">
        <v>513</v>
      </c>
      <c r="F297" s="24" t="s">
        <v>693</v>
      </c>
      <c r="G297" s="365">
        <v>0.98</v>
      </c>
      <c r="H297" s="365">
        <v>1</v>
      </c>
      <c r="I297" s="365">
        <v>1</v>
      </c>
      <c r="J297" s="365">
        <v>1</v>
      </c>
      <c r="K297" s="365">
        <v>1</v>
      </c>
      <c r="L297" s="365">
        <v>0.9929</v>
      </c>
      <c r="M297" s="365">
        <v>0.8</v>
      </c>
      <c r="N297" s="365">
        <v>0.5</v>
      </c>
      <c r="O297" s="365">
        <v>1</v>
      </c>
      <c r="P297" s="365">
        <v>1</v>
      </c>
      <c r="Q297" s="366">
        <v>0.88729999999999998</v>
      </c>
      <c r="R297" s="367">
        <v>0</v>
      </c>
      <c r="S297" s="366">
        <v>0.88729999999999998</v>
      </c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8" x14ac:dyDescent="0.3">
      <c r="A298" s="1"/>
      <c r="B298" s="364">
        <v>1</v>
      </c>
      <c r="C298" s="68">
        <v>294</v>
      </c>
      <c r="D298" s="69">
        <v>80672863</v>
      </c>
      <c r="E298" s="69" t="s">
        <v>514</v>
      </c>
      <c r="F298" s="24" t="s">
        <v>693</v>
      </c>
      <c r="G298" s="365">
        <v>0.96</v>
      </c>
      <c r="H298" s="365">
        <v>0.98</v>
      </c>
      <c r="I298" s="365">
        <v>1</v>
      </c>
      <c r="J298" s="365">
        <v>0.97060000000000002</v>
      </c>
      <c r="K298" s="365">
        <v>1</v>
      </c>
      <c r="L298" s="365">
        <v>1</v>
      </c>
      <c r="M298" s="365">
        <v>0.8</v>
      </c>
      <c r="N298" s="365">
        <v>0.5</v>
      </c>
      <c r="O298" s="365">
        <v>1</v>
      </c>
      <c r="P298" s="365">
        <v>1</v>
      </c>
      <c r="Q298" s="366">
        <v>0.8821</v>
      </c>
      <c r="R298" s="367">
        <v>0</v>
      </c>
      <c r="S298" s="366">
        <v>0.8821</v>
      </c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8" x14ac:dyDescent="0.3">
      <c r="A299" s="1"/>
      <c r="B299" s="364">
        <v>2</v>
      </c>
      <c r="C299" s="68">
        <v>295</v>
      </c>
      <c r="D299" s="69">
        <v>80674457</v>
      </c>
      <c r="E299" s="69" t="s">
        <v>515</v>
      </c>
      <c r="F299" s="24" t="s">
        <v>693</v>
      </c>
      <c r="G299" s="365">
        <v>1</v>
      </c>
      <c r="H299" s="365">
        <v>1</v>
      </c>
      <c r="I299" s="365">
        <v>1</v>
      </c>
      <c r="J299" s="365">
        <v>0.90880000000000005</v>
      </c>
      <c r="K299" s="365">
        <v>1</v>
      </c>
      <c r="L299" s="365">
        <v>0.99050000000000005</v>
      </c>
      <c r="M299" s="365">
        <v>1</v>
      </c>
      <c r="N299" s="365">
        <v>0.5</v>
      </c>
      <c r="O299" s="365">
        <v>0</v>
      </c>
      <c r="P299" s="365">
        <v>1</v>
      </c>
      <c r="Q299" s="366">
        <v>0.92989999999999995</v>
      </c>
      <c r="R299" s="367">
        <v>0</v>
      </c>
      <c r="S299" s="366">
        <v>0.92989999999999995</v>
      </c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8" x14ac:dyDescent="0.3">
      <c r="A300" s="1"/>
      <c r="B300" s="364">
        <v>3</v>
      </c>
      <c r="C300" s="68">
        <v>296</v>
      </c>
      <c r="D300" s="69">
        <v>80668524</v>
      </c>
      <c r="E300" s="69" t="s">
        <v>332</v>
      </c>
      <c r="F300" s="24" t="s">
        <v>657</v>
      </c>
      <c r="G300" s="365">
        <v>0.98</v>
      </c>
      <c r="H300" s="365">
        <v>1</v>
      </c>
      <c r="I300" s="365">
        <v>1</v>
      </c>
      <c r="J300" s="365">
        <v>1</v>
      </c>
      <c r="K300" s="365">
        <v>1</v>
      </c>
      <c r="L300" s="365">
        <v>1</v>
      </c>
      <c r="M300" s="365">
        <v>1</v>
      </c>
      <c r="N300" s="365">
        <v>1</v>
      </c>
      <c r="O300" s="365">
        <v>0</v>
      </c>
      <c r="P300" s="365">
        <v>1</v>
      </c>
      <c r="Q300" s="366">
        <v>0.97799999999999998</v>
      </c>
      <c r="R300" s="367">
        <v>0</v>
      </c>
      <c r="S300" s="366">
        <v>0.97799999999999998</v>
      </c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8" x14ac:dyDescent="0.3">
      <c r="A301" s="1"/>
      <c r="B301" s="364">
        <v>4</v>
      </c>
      <c r="C301" s="68">
        <v>297</v>
      </c>
      <c r="D301" s="69">
        <v>80661222</v>
      </c>
      <c r="E301" s="69" t="s">
        <v>333</v>
      </c>
      <c r="F301" s="24" t="s">
        <v>657</v>
      </c>
      <c r="G301" s="365">
        <v>0.98</v>
      </c>
      <c r="H301" s="365">
        <v>1</v>
      </c>
      <c r="I301" s="365">
        <v>1</v>
      </c>
      <c r="J301" s="365">
        <v>1</v>
      </c>
      <c r="K301" s="365">
        <v>1</v>
      </c>
      <c r="L301" s="365">
        <v>0.99790000000000001</v>
      </c>
      <c r="M301" s="365">
        <v>1</v>
      </c>
      <c r="N301" s="365">
        <v>0</v>
      </c>
      <c r="O301" s="365">
        <v>0</v>
      </c>
      <c r="P301" s="365">
        <v>0.75</v>
      </c>
      <c r="Q301" s="366">
        <v>0.88529999999999998</v>
      </c>
      <c r="R301" s="367">
        <v>0</v>
      </c>
      <c r="S301" s="366">
        <v>0.88529999999999998</v>
      </c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8" x14ac:dyDescent="0.3">
      <c r="A302" s="1"/>
      <c r="B302" s="364">
        <v>5</v>
      </c>
      <c r="C302" s="68">
        <v>298</v>
      </c>
      <c r="D302" s="69">
        <v>80660262</v>
      </c>
      <c r="E302" s="69" t="s">
        <v>334</v>
      </c>
      <c r="F302" s="24" t="s">
        <v>657</v>
      </c>
      <c r="G302" s="365">
        <v>0.98</v>
      </c>
      <c r="H302" s="365">
        <v>1</v>
      </c>
      <c r="I302" s="365">
        <v>1</v>
      </c>
      <c r="J302" s="365">
        <v>1</v>
      </c>
      <c r="K302" s="365">
        <v>0</v>
      </c>
      <c r="L302" s="365">
        <v>1</v>
      </c>
      <c r="M302" s="365">
        <v>1</v>
      </c>
      <c r="N302" s="365">
        <v>0.5</v>
      </c>
      <c r="O302" s="365">
        <v>0</v>
      </c>
      <c r="P302" s="365">
        <v>1</v>
      </c>
      <c r="Q302" s="366">
        <v>0.88800000000000001</v>
      </c>
      <c r="R302" s="367">
        <v>0</v>
      </c>
      <c r="S302" s="366">
        <v>0.88800000000000001</v>
      </c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8" x14ac:dyDescent="0.3">
      <c r="A303" s="1"/>
      <c r="B303" s="364">
        <v>6</v>
      </c>
      <c r="C303" s="68">
        <v>299</v>
      </c>
      <c r="D303" s="69">
        <v>80665188</v>
      </c>
      <c r="E303" s="69" t="s">
        <v>335</v>
      </c>
      <c r="F303" s="24" t="s">
        <v>657</v>
      </c>
      <c r="G303" s="365">
        <v>0.98</v>
      </c>
      <c r="H303" s="365">
        <v>1</v>
      </c>
      <c r="I303" s="365">
        <v>1</v>
      </c>
      <c r="J303" s="365">
        <v>0.91180000000000005</v>
      </c>
      <c r="K303" s="365">
        <v>1</v>
      </c>
      <c r="L303" s="365">
        <v>1</v>
      </c>
      <c r="M303" s="365">
        <v>1</v>
      </c>
      <c r="N303" s="365">
        <v>1</v>
      </c>
      <c r="O303" s="365">
        <v>0</v>
      </c>
      <c r="P303" s="365">
        <v>1</v>
      </c>
      <c r="Q303" s="366">
        <v>0.96919999999999995</v>
      </c>
      <c r="R303" s="367">
        <v>0</v>
      </c>
      <c r="S303" s="366">
        <v>0.96919999999999995</v>
      </c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8" x14ac:dyDescent="0.3">
      <c r="A304" s="1"/>
      <c r="B304" s="364">
        <v>7</v>
      </c>
      <c r="C304" s="68">
        <v>300</v>
      </c>
      <c r="D304" s="69">
        <v>80665316</v>
      </c>
      <c r="E304" s="69" t="s">
        <v>336</v>
      </c>
      <c r="F304" s="24" t="s">
        <v>657</v>
      </c>
      <c r="G304" s="365">
        <v>1</v>
      </c>
      <c r="H304" s="365">
        <v>1</v>
      </c>
      <c r="I304" s="365">
        <v>1</v>
      </c>
      <c r="J304" s="365">
        <v>1</v>
      </c>
      <c r="K304" s="365">
        <v>1</v>
      </c>
      <c r="L304" s="365">
        <v>0.99680000000000002</v>
      </c>
      <c r="M304" s="365">
        <v>1</v>
      </c>
      <c r="N304" s="365">
        <v>0.5</v>
      </c>
      <c r="O304" s="365">
        <v>0</v>
      </c>
      <c r="P304" s="365">
        <v>1</v>
      </c>
      <c r="Q304" s="366">
        <v>0.93969999999999998</v>
      </c>
      <c r="R304" s="367">
        <v>0</v>
      </c>
      <c r="S304" s="366">
        <v>0.93969999999999998</v>
      </c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8" x14ac:dyDescent="0.3">
      <c r="A305" s="1"/>
      <c r="B305" s="364">
        <v>1</v>
      </c>
      <c r="C305" s="68">
        <v>301</v>
      </c>
      <c r="D305" s="69">
        <v>80673636</v>
      </c>
      <c r="E305" s="69" t="s">
        <v>337</v>
      </c>
      <c r="F305" s="24" t="s">
        <v>657</v>
      </c>
      <c r="G305" s="365">
        <v>1</v>
      </c>
      <c r="H305" s="365">
        <v>1</v>
      </c>
      <c r="I305" s="365">
        <v>1</v>
      </c>
      <c r="J305" s="365">
        <v>1</v>
      </c>
      <c r="K305" s="365">
        <v>1</v>
      </c>
      <c r="L305" s="365">
        <v>1</v>
      </c>
      <c r="M305" s="365">
        <v>1</v>
      </c>
      <c r="N305" s="365">
        <v>1</v>
      </c>
      <c r="O305" s="365">
        <v>0</v>
      </c>
      <c r="P305" s="365">
        <v>1</v>
      </c>
      <c r="Q305" s="366">
        <v>0.98</v>
      </c>
      <c r="R305" s="367">
        <v>0</v>
      </c>
      <c r="S305" s="366">
        <v>0.98</v>
      </c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8" x14ac:dyDescent="0.3">
      <c r="A306" s="1"/>
      <c r="B306" s="364">
        <v>2</v>
      </c>
      <c r="C306" s="68">
        <v>302</v>
      </c>
      <c r="D306" s="69">
        <v>80666858</v>
      </c>
      <c r="E306" s="69" t="s">
        <v>460</v>
      </c>
      <c r="F306" s="24" t="s">
        <v>663</v>
      </c>
      <c r="G306" s="365">
        <v>1</v>
      </c>
      <c r="H306" s="365">
        <v>1</v>
      </c>
      <c r="I306" s="365">
        <v>1</v>
      </c>
      <c r="J306" s="365">
        <v>1</v>
      </c>
      <c r="K306" s="365">
        <v>1</v>
      </c>
      <c r="L306" s="365">
        <v>1</v>
      </c>
      <c r="M306" s="365">
        <v>1</v>
      </c>
      <c r="N306" s="365">
        <v>1</v>
      </c>
      <c r="O306" s="365">
        <v>0</v>
      </c>
      <c r="P306" s="365">
        <v>0.75</v>
      </c>
      <c r="Q306" s="366">
        <v>0.96750000000000003</v>
      </c>
      <c r="R306" s="367">
        <v>0</v>
      </c>
      <c r="S306" s="366">
        <v>0.96750000000000003</v>
      </c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8" x14ac:dyDescent="0.3">
      <c r="A307" s="1"/>
      <c r="B307" s="364">
        <v>3</v>
      </c>
      <c r="C307" s="68">
        <v>303</v>
      </c>
      <c r="D307" s="69">
        <v>80662432</v>
      </c>
      <c r="E307" s="69" t="s">
        <v>461</v>
      </c>
      <c r="F307" s="24" t="s">
        <v>663</v>
      </c>
      <c r="G307" s="365">
        <v>1</v>
      </c>
      <c r="H307" s="365">
        <v>0.98</v>
      </c>
      <c r="I307" s="365">
        <v>1</v>
      </c>
      <c r="J307" s="365">
        <v>0.97430000000000005</v>
      </c>
      <c r="K307" s="365">
        <v>1</v>
      </c>
      <c r="L307" s="365">
        <v>0.99790000000000001</v>
      </c>
      <c r="M307" s="365">
        <v>1</v>
      </c>
      <c r="N307" s="365">
        <v>0.5</v>
      </c>
      <c r="O307" s="365">
        <v>0</v>
      </c>
      <c r="P307" s="365">
        <v>1</v>
      </c>
      <c r="Q307" s="366">
        <v>0.93620000000000003</v>
      </c>
      <c r="R307" s="367">
        <v>0</v>
      </c>
      <c r="S307" s="366">
        <v>0.93620000000000003</v>
      </c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8" x14ac:dyDescent="0.3">
      <c r="A308" s="1"/>
      <c r="B308" s="364">
        <v>4</v>
      </c>
      <c r="C308" s="68">
        <v>304</v>
      </c>
      <c r="D308" s="69">
        <v>80665327</v>
      </c>
      <c r="E308" s="69" t="s">
        <v>462</v>
      </c>
      <c r="F308" s="24" t="s">
        <v>663</v>
      </c>
      <c r="G308" s="365">
        <v>1</v>
      </c>
      <c r="H308" s="365">
        <v>1</v>
      </c>
      <c r="I308" s="365">
        <v>1</v>
      </c>
      <c r="J308" s="365">
        <v>1</v>
      </c>
      <c r="K308" s="365">
        <v>1</v>
      </c>
      <c r="L308" s="365">
        <v>1</v>
      </c>
      <c r="M308" s="365">
        <v>1</v>
      </c>
      <c r="N308" s="365">
        <v>0.5</v>
      </c>
      <c r="O308" s="365">
        <v>0</v>
      </c>
      <c r="P308" s="365">
        <v>1</v>
      </c>
      <c r="Q308" s="366">
        <v>0.94</v>
      </c>
      <c r="R308" s="367">
        <v>0</v>
      </c>
      <c r="S308" s="366">
        <v>0.94</v>
      </c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8" x14ac:dyDescent="0.3">
      <c r="A309" s="1"/>
      <c r="B309" s="364">
        <v>5</v>
      </c>
      <c r="C309" s="68">
        <v>305</v>
      </c>
      <c r="D309" s="69">
        <v>80672163</v>
      </c>
      <c r="E309" s="69" t="s">
        <v>463</v>
      </c>
      <c r="F309" s="24" t="s">
        <v>663</v>
      </c>
      <c r="G309" s="365">
        <v>1</v>
      </c>
      <c r="H309" s="365">
        <v>1</v>
      </c>
      <c r="I309" s="365">
        <v>1</v>
      </c>
      <c r="J309" s="365">
        <v>1</v>
      </c>
      <c r="K309" s="365">
        <v>1</v>
      </c>
      <c r="L309" s="365">
        <v>1</v>
      </c>
      <c r="M309" s="365">
        <v>1</v>
      </c>
      <c r="N309" s="365">
        <v>1</v>
      </c>
      <c r="O309" s="365">
        <v>0</v>
      </c>
      <c r="P309" s="365">
        <v>1</v>
      </c>
      <c r="Q309" s="366">
        <v>0.98</v>
      </c>
      <c r="R309" s="367">
        <v>0</v>
      </c>
      <c r="S309" s="366">
        <v>0.98</v>
      </c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8" x14ac:dyDescent="0.3">
      <c r="A310" s="1"/>
      <c r="B310" s="364">
        <v>6</v>
      </c>
      <c r="C310" s="68">
        <v>306</v>
      </c>
      <c r="D310" s="69">
        <v>80658675</v>
      </c>
      <c r="E310" s="69" t="s">
        <v>464</v>
      </c>
      <c r="F310" s="24" t="s">
        <v>663</v>
      </c>
      <c r="G310" s="365">
        <v>1</v>
      </c>
      <c r="H310" s="365">
        <v>1</v>
      </c>
      <c r="I310" s="365">
        <v>1</v>
      </c>
      <c r="J310" s="365">
        <v>0.95169999999999999</v>
      </c>
      <c r="K310" s="365">
        <v>1</v>
      </c>
      <c r="L310" s="365">
        <v>1</v>
      </c>
      <c r="M310" s="365">
        <v>1</v>
      </c>
      <c r="N310" s="365">
        <v>1</v>
      </c>
      <c r="O310" s="365">
        <v>0</v>
      </c>
      <c r="P310" s="365">
        <v>1</v>
      </c>
      <c r="Q310" s="366">
        <v>0.97519999999999996</v>
      </c>
      <c r="R310" s="367">
        <v>0</v>
      </c>
      <c r="S310" s="366">
        <v>0.97519999999999996</v>
      </c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8" x14ac:dyDescent="0.3">
      <c r="A311" s="1"/>
      <c r="B311" s="364">
        <v>7</v>
      </c>
      <c r="C311" s="68">
        <v>307</v>
      </c>
      <c r="D311" s="69">
        <v>80672851</v>
      </c>
      <c r="E311" s="69" t="s">
        <v>30</v>
      </c>
      <c r="F311" s="24" t="s">
        <v>627</v>
      </c>
      <c r="G311" s="365">
        <v>1</v>
      </c>
      <c r="H311" s="365">
        <v>1</v>
      </c>
      <c r="I311" s="365">
        <v>1</v>
      </c>
      <c r="J311" s="365">
        <v>1</v>
      </c>
      <c r="K311" s="365">
        <v>1</v>
      </c>
      <c r="L311" s="365">
        <v>1</v>
      </c>
      <c r="M311" s="365">
        <v>1</v>
      </c>
      <c r="N311" s="365">
        <v>1</v>
      </c>
      <c r="O311" s="365">
        <v>1</v>
      </c>
      <c r="P311" s="365">
        <v>1</v>
      </c>
      <c r="Q311" s="366">
        <v>1</v>
      </c>
      <c r="R311" s="367">
        <v>0</v>
      </c>
      <c r="S311" s="366">
        <v>1</v>
      </c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8" x14ac:dyDescent="0.3">
      <c r="A312" s="1"/>
      <c r="B312" s="364">
        <v>1</v>
      </c>
      <c r="C312" s="68">
        <v>308</v>
      </c>
      <c r="D312" s="69">
        <v>80668531</v>
      </c>
      <c r="E312" s="69" t="s">
        <v>31</v>
      </c>
      <c r="F312" s="24" t="s">
        <v>627</v>
      </c>
      <c r="G312" s="365">
        <v>1</v>
      </c>
      <c r="H312" s="365">
        <v>1</v>
      </c>
      <c r="I312" s="365">
        <v>1</v>
      </c>
      <c r="J312" s="365">
        <v>1</v>
      </c>
      <c r="K312" s="365">
        <v>1</v>
      </c>
      <c r="L312" s="365">
        <v>0.99139999999999995</v>
      </c>
      <c r="M312" s="365">
        <v>1</v>
      </c>
      <c r="N312" s="365">
        <v>1</v>
      </c>
      <c r="O312" s="365">
        <v>0</v>
      </c>
      <c r="P312" s="365">
        <v>1</v>
      </c>
      <c r="Q312" s="366">
        <v>0.97909999999999997</v>
      </c>
      <c r="R312" s="367">
        <v>0</v>
      </c>
      <c r="S312" s="366">
        <v>0.97909999999999997</v>
      </c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8" x14ac:dyDescent="0.3">
      <c r="A313" s="1"/>
      <c r="B313" s="364">
        <v>2</v>
      </c>
      <c r="C313" s="68">
        <v>309</v>
      </c>
      <c r="D313" s="69">
        <v>80659040</v>
      </c>
      <c r="E313" s="69" t="s">
        <v>32</v>
      </c>
      <c r="F313" s="24" t="s">
        <v>627</v>
      </c>
      <c r="G313" s="365">
        <v>0.98</v>
      </c>
      <c r="H313" s="365">
        <v>1</v>
      </c>
      <c r="I313" s="365">
        <v>1</v>
      </c>
      <c r="J313" s="365">
        <v>1</v>
      </c>
      <c r="K313" s="365">
        <v>1</v>
      </c>
      <c r="L313" s="365">
        <v>0.99790000000000001</v>
      </c>
      <c r="M313" s="365">
        <v>0.8</v>
      </c>
      <c r="N313" s="365">
        <v>1</v>
      </c>
      <c r="O313" s="365">
        <v>0</v>
      </c>
      <c r="P313" s="365">
        <v>0.5</v>
      </c>
      <c r="Q313" s="366">
        <v>0.88280000000000003</v>
      </c>
      <c r="R313" s="367">
        <v>0</v>
      </c>
      <c r="S313" s="366">
        <v>0.88280000000000003</v>
      </c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8" x14ac:dyDescent="0.3">
      <c r="A314" s="1"/>
      <c r="B314" s="364">
        <v>3</v>
      </c>
      <c r="C314" s="68">
        <v>310</v>
      </c>
      <c r="D314" s="69">
        <v>80662434</v>
      </c>
      <c r="E314" s="69" t="s">
        <v>33</v>
      </c>
      <c r="F314" s="24" t="s">
        <v>627</v>
      </c>
      <c r="G314" s="365">
        <v>1</v>
      </c>
      <c r="H314" s="365">
        <v>1</v>
      </c>
      <c r="I314" s="365">
        <v>1</v>
      </c>
      <c r="J314" s="365">
        <v>1</v>
      </c>
      <c r="K314" s="365">
        <v>1</v>
      </c>
      <c r="L314" s="365">
        <v>0.99790000000000001</v>
      </c>
      <c r="M314" s="365">
        <v>1</v>
      </c>
      <c r="N314" s="365">
        <v>1</v>
      </c>
      <c r="O314" s="365">
        <v>0</v>
      </c>
      <c r="P314" s="365">
        <v>1</v>
      </c>
      <c r="Q314" s="366">
        <v>0.9798</v>
      </c>
      <c r="R314" s="367">
        <v>0</v>
      </c>
      <c r="S314" s="366">
        <v>0.9798</v>
      </c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8" x14ac:dyDescent="0.3">
      <c r="A315" s="1"/>
      <c r="B315" s="364">
        <v>4</v>
      </c>
      <c r="C315" s="68">
        <v>311</v>
      </c>
      <c r="D315" s="69">
        <v>80672633</v>
      </c>
      <c r="E315" s="69" t="s">
        <v>34</v>
      </c>
      <c r="F315" s="24" t="s">
        <v>627</v>
      </c>
      <c r="G315" s="365">
        <v>1</v>
      </c>
      <c r="H315" s="365">
        <v>0.99</v>
      </c>
      <c r="I315" s="365">
        <v>1</v>
      </c>
      <c r="J315" s="365">
        <v>1</v>
      </c>
      <c r="K315" s="365">
        <v>1</v>
      </c>
      <c r="L315" s="365">
        <v>0.99270000000000003</v>
      </c>
      <c r="M315" s="365">
        <v>1</v>
      </c>
      <c r="N315" s="365">
        <v>1</v>
      </c>
      <c r="O315" s="365">
        <v>0</v>
      </c>
      <c r="P315" s="365">
        <v>0.5</v>
      </c>
      <c r="Q315" s="366">
        <v>0.95379999999999998</v>
      </c>
      <c r="R315" s="367">
        <v>0</v>
      </c>
      <c r="S315" s="366">
        <v>0.95379999999999998</v>
      </c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8" x14ac:dyDescent="0.3">
      <c r="A316" s="1"/>
      <c r="B316" s="364">
        <v>5</v>
      </c>
      <c r="C316" s="68">
        <v>312</v>
      </c>
      <c r="D316" s="69">
        <v>80669273</v>
      </c>
      <c r="E316" s="69" t="s">
        <v>600</v>
      </c>
      <c r="F316" s="24" t="s">
        <v>683</v>
      </c>
      <c r="G316" s="365">
        <v>1</v>
      </c>
      <c r="H316" s="365">
        <v>1</v>
      </c>
      <c r="I316" s="365">
        <v>1</v>
      </c>
      <c r="J316" s="365">
        <v>1</v>
      </c>
      <c r="K316" s="365">
        <v>1</v>
      </c>
      <c r="L316" s="365">
        <v>1</v>
      </c>
      <c r="M316" s="365">
        <v>0.8</v>
      </c>
      <c r="N316" s="365">
        <v>0</v>
      </c>
      <c r="O316" s="365">
        <v>0</v>
      </c>
      <c r="P316" s="365">
        <v>1</v>
      </c>
      <c r="Q316" s="366">
        <v>0.83</v>
      </c>
      <c r="R316" s="367">
        <v>0</v>
      </c>
      <c r="S316" s="366">
        <v>0.83</v>
      </c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8" x14ac:dyDescent="0.3">
      <c r="A317" s="1"/>
      <c r="B317" s="364">
        <v>6</v>
      </c>
      <c r="C317" s="68">
        <v>313</v>
      </c>
      <c r="D317" s="69">
        <v>80674470</v>
      </c>
      <c r="E317" s="69" t="s">
        <v>601</v>
      </c>
      <c r="F317" s="24" t="s">
        <v>683</v>
      </c>
      <c r="G317" s="365">
        <v>1</v>
      </c>
      <c r="H317" s="365">
        <v>1</v>
      </c>
      <c r="I317" s="365">
        <v>1</v>
      </c>
      <c r="J317" s="365">
        <v>0.82679999999999998</v>
      </c>
      <c r="K317" s="365">
        <v>0</v>
      </c>
      <c r="L317" s="365">
        <v>0.99399999999999999</v>
      </c>
      <c r="M317" s="365">
        <v>0.8</v>
      </c>
      <c r="N317" s="365">
        <v>0.5</v>
      </c>
      <c r="O317" s="365">
        <v>0</v>
      </c>
      <c r="P317" s="365">
        <v>1</v>
      </c>
      <c r="Q317" s="366">
        <v>0.80210000000000004</v>
      </c>
      <c r="R317" s="367">
        <v>0</v>
      </c>
      <c r="S317" s="366">
        <v>0.80210000000000004</v>
      </c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8" x14ac:dyDescent="0.3">
      <c r="A318" s="1"/>
      <c r="B318" s="364">
        <v>7</v>
      </c>
      <c r="C318" s="68">
        <v>314</v>
      </c>
      <c r="D318" s="69">
        <v>80673121</v>
      </c>
      <c r="E318" s="69" t="s">
        <v>602</v>
      </c>
      <c r="F318" s="24" t="s">
        <v>683</v>
      </c>
      <c r="G318" s="365">
        <v>0.96</v>
      </c>
      <c r="H318" s="365">
        <v>1</v>
      </c>
      <c r="I318" s="365">
        <v>1</v>
      </c>
      <c r="J318" s="365">
        <v>1</v>
      </c>
      <c r="K318" s="365">
        <v>1</v>
      </c>
      <c r="L318" s="365">
        <v>0.99870000000000003</v>
      </c>
      <c r="M318" s="365">
        <v>0.8</v>
      </c>
      <c r="N318" s="365">
        <v>1</v>
      </c>
      <c r="O318" s="365">
        <v>0</v>
      </c>
      <c r="P318" s="365">
        <v>0.5</v>
      </c>
      <c r="Q318" s="366">
        <v>0.88090000000000002</v>
      </c>
      <c r="R318" s="367">
        <v>0</v>
      </c>
      <c r="S318" s="366">
        <v>0.88090000000000002</v>
      </c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8" x14ac:dyDescent="0.3">
      <c r="A319" s="1"/>
      <c r="B319" s="364">
        <v>1</v>
      </c>
      <c r="C319" s="68">
        <v>315</v>
      </c>
      <c r="D319" s="69">
        <v>80664541</v>
      </c>
      <c r="E319" s="69" t="s">
        <v>603</v>
      </c>
      <c r="F319" s="24" t="s">
        <v>683</v>
      </c>
      <c r="G319" s="365">
        <v>0.92</v>
      </c>
      <c r="H319" s="365">
        <v>1</v>
      </c>
      <c r="I319" s="365">
        <v>1</v>
      </c>
      <c r="J319" s="365">
        <v>1</v>
      </c>
      <c r="K319" s="365">
        <v>1</v>
      </c>
      <c r="L319" s="365">
        <v>1</v>
      </c>
      <c r="M319" s="365">
        <v>1</v>
      </c>
      <c r="N319" s="365">
        <v>1</v>
      </c>
      <c r="O319" s="365">
        <v>0</v>
      </c>
      <c r="P319" s="365">
        <v>1</v>
      </c>
      <c r="Q319" s="366">
        <v>0.97199999999999998</v>
      </c>
      <c r="R319" s="367">
        <v>0</v>
      </c>
      <c r="S319" s="366">
        <v>0.97199999999999998</v>
      </c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8" x14ac:dyDescent="0.3">
      <c r="A320" s="1"/>
      <c r="B320" s="364">
        <v>2</v>
      </c>
      <c r="C320" s="68">
        <v>316</v>
      </c>
      <c r="D320" s="69">
        <v>80672802</v>
      </c>
      <c r="E320" s="69" t="s">
        <v>604</v>
      </c>
      <c r="F320" s="24" t="s">
        <v>683</v>
      </c>
      <c r="G320" s="365">
        <v>0.98</v>
      </c>
      <c r="H320" s="365">
        <v>1</v>
      </c>
      <c r="I320" s="365">
        <v>1</v>
      </c>
      <c r="J320" s="365">
        <v>0.84450000000000003</v>
      </c>
      <c r="K320" s="365">
        <v>0</v>
      </c>
      <c r="L320" s="365">
        <v>1</v>
      </c>
      <c r="M320" s="365">
        <v>0.8</v>
      </c>
      <c r="N320" s="365">
        <v>0</v>
      </c>
      <c r="O320" s="365">
        <v>0</v>
      </c>
      <c r="P320" s="365">
        <v>1</v>
      </c>
      <c r="Q320" s="366">
        <v>0.76249999999999996</v>
      </c>
      <c r="R320" s="367">
        <v>0</v>
      </c>
      <c r="S320" s="366">
        <v>0.76249999999999996</v>
      </c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8" x14ac:dyDescent="0.3">
      <c r="A321" s="1"/>
      <c r="B321" s="364">
        <v>4</v>
      </c>
      <c r="C321" s="68">
        <v>317</v>
      </c>
      <c r="D321" s="69">
        <v>80670973</v>
      </c>
      <c r="E321" s="69" t="s">
        <v>122</v>
      </c>
      <c r="F321" s="24" t="s">
        <v>646</v>
      </c>
      <c r="G321" s="365">
        <v>0.98</v>
      </c>
      <c r="H321" s="365">
        <v>0.97</v>
      </c>
      <c r="I321" s="365">
        <v>1</v>
      </c>
      <c r="J321" s="365">
        <v>0.90439999999999998</v>
      </c>
      <c r="K321" s="365">
        <v>1</v>
      </c>
      <c r="L321" s="365">
        <v>1</v>
      </c>
      <c r="M321" s="365">
        <v>1</v>
      </c>
      <c r="N321" s="365">
        <v>1</v>
      </c>
      <c r="O321" s="365">
        <v>1</v>
      </c>
      <c r="P321" s="365">
        <v>1</v>
      </c>
      <c r="Q321" s="366">
        <v>0.9869</v>
      </c>
      <c r="R321" s="367">
        <v>0</v>
      </c>
      <c r="S321" s="366">
        <v>0.9869</v>
      </c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8" x14ac:dyDescent="0.3">
      <c r="A322" s="1"/>
      <c r="B322" s="364">
        <v>5</v>
      </c>
      <c r="C322" s="68">
        <v>318</v>
      </c>
      <c r="D322" s="69">
        <v>80670789</v>
      </c>
      <c r="E322" s="69" t="s">
        <v>123</v>
      </c>
      <c r="F322" s="24" t="s">
        <v>646</v>
      </c>
      <c r="G322" s="365">
        <v>0.98</v>
      </c>
      <c r="H322" s="365">
        <v>1</v>
      </c>
      <c r="I322" s="365">
        <v>1</v>
      </c>
      <c r="J322" s="365">
        <v>0.55689999999999995</v>
      </c>
      <c r="K322" s="365">
        <v>0</v>
      </c>
      <c r="L322" s="365">
        <v>1</v>
      </c>
      <c r="M322" s="365">
        <v>1</v>
      </c>
      <c r="N322" s="365">
        <v>0</v>
      </c>
      <c r="O322" s="365">
        <v>0</v>
      </c>
      <c r="P322" s="365">
        <v>1</v>
      </c>
      <c r="Q322" s="366">
        <v>0.80369999999999997</v>
      </c>
      <c r="R322" s="367">
        <v>0</v>
      </c>
      <c r="S322" s="366">
        <v>0.80369999999999997</v>
      </c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8" x14ac:dyDescent="0.3">
      <c r="A323" s="1"/>
      <c r="B323" s="364">
        <v>7</v>
      </c>
      <c r="C323" s="68">
        <v>319</v>
      </c>
      <c r="D323" s="69">
        <v>80661220</v>
      </c>
      <c r="E323" s="69" t="s">
        <v>124</v>
      </c>
      <c r="F323" s="24" t="s">
        <v>646</v>
      </c>
      <c r="G323" s="365">
        <v>1</v>
      </c>
      <c r="H323" s="365">
        <v>1</v>
      </c>
      <c r="I323" s="365">
        <v>1</v>
      </c>
      <c r="J323" s="365">
        <v>0.95440000000000003</v>
      </c>
      <c r="K323" s="365">
        <v>1</v>
      </c>
      <c r="L323" s="365">
        <v>1</v>
      </c>
      <c r="M323" s="365">
        <v>1</v>
      </c>
      <c r="N323" s="365">
        <v>0.5</v>
      </c>
      <c r="O323" s="365">
        <v>0</v>
      </c>
      <c r="P323" s="365">
        <v>1</v>
      </c>
      <c r="Q323" s="366">
        <v>0.93540000000000001</v>
      </c>
      <c r="R323" s="367">
        <v>0</v>
      </c>
      <c r="S323" s="366">
        <v>0.93540000000000001</v>
      </c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8" x14ac:dyDescent="0.3">
      <c r="A324" s="1"/>
      <c r="B324" s="364">
        <v>8</v>
      </c>
      <c r="C324" s="68">
        <v>320</v>
      </c>
      <c r="D324" s="69">
        <v>80665547</v>
      </c>
      <c r="E324" s="69" t="s">
        <v>125</v>
      </c>
      <c r="F324" s="24" t="s">
        <v>646</v>
      </c>
      <c r="G324" s="365">
        <v>0.98</v>
      </c>
      <c r="H324" s="365">
        <v>1</v>
      </c>
      <c r="I324" s="365">
        <v>1</v>
      </c>
      <c r="J324" s="365">
        <v>1</v>
      </c>
      <c r="K324" s="365">
        <v>1</v>
      </c>
      <c r="L324" s="365">
        <v>0.99750000000000005</v>
      </c>
      <c r="M324" s="365">
        <v>1</v>
      </c>
      <c r="N324" s="365">
        <v>1</v>
      </c>
      <c r="O324" s="365">
        <v>0</v>
      </c>
      <c r="P324" s="365">
        <v>1</v>
      </c>
      <c r="Q324" s="366">
        <v>0.9778</v>
      </c>
      <c r="R324" s="367">
        <v>0</v>
      </c>
      <c r="S324" s="366">
        <v>0.9778</v>
      </c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8" x14ac:dyDescent="0.3">
      <c r="A325" s="1"/>
      <c r="B325" s="364">
        <v>1</v>
      </c>
      <c r="C325" s="68">
        <v>321</v>
      </c>
      <c r="D325" s="69">
        <v>80661139</v>
      </c>
      <c r="E325" s="69" t="s">
        <v>126</v>
      </c>
      <c r="F325" s="24" t="s">
        <v>646</v>
      </c>
      <c r="G325" s="365">
        <v>0.98</v>
      </c>
      <c r="H325" s="365">
        <v>1</v>
      </c>
      <c r="I325" s="365">
        <v>1</v>
      </c>
      <c r="J325" s="365">
        <v>1</v>
      </c>
      <c r="K325" s="365">
        <v>1</v>
      </c>
      <c r="L325" s="365">
        <v>1</v>
      </c>
      <c r="M325" s="365">
        <v>0.8</v>
      </c>
      <c r="N325" s="365">
        <v>0</v>
      </c>
      <c r="O325" s="365">
        <v>0</v>
      </c>
      <c r="P325" s="365">
        <v>1</v>
      </c>
      <c r="Q325" s="366">
        <v>0.82799999999999996</v>
      </c>
      <c r="R325" s="367">
        <v>0</v>
      </c>
      <c r="S325" s="366">
        <v>0.82799999999999996</v>
      </c>
      <c r="T325" s="1"/>
      <c r="U325" s="368"/>
      <c r="V325" s="44"/>
      <c r="W325" s="368"/>
      <c r="X325" s="368"/>
      <c r="Y325" s="44"/>
      <c r="Z325" s="44"/>
      <c r="AA325" s="44"/>
      <c r="AB325" s="1"/>
    </row>
    <row r="326" spans="1:28" ht="18" x14ac:dyDescent="0.3">
      <c r="A326" s="1"/>
      <c r="B326" s="364">
        <v>2</v>
      </c>
      <c r="C326" s="68">
        <v>322</v>
      </c>
      <c r="D326" s="69">
        <v>80672803</v>
      </c>
      <c r="E326" s="69" t="s">
        <v>36</v>
      </c>
      <c r="F326" s="24" t="s">
        <v>638</v>
      </c>
      <c r="G326" s="365">
        <v>1</v>
      </c>
      <c r="H326" s="365">
        <v>0.99</v>
      </c>
      <c r="I326" s="365">
        <v>1</v>
      </c>
      <c r="J326" s="365">
        <v>1</v>
      </c>
      <c r="K326" s="365">
        <v>1</v>
      </c>
      <c r="L326" s="365">
        <v>0.97619999999999996</v>
      </c>
      <c r="M326" s="365">
        <v>0.8</v>
      </c>
      <c r="N326" s="365">
        <v>1</v>
      </c>
      <c r="O326" s="365">
        <v>0</v>
      </c>
      <c r="P326" s="365">
        <v>0.75</v>
      </c>
      <c r="Q326" s="366">
        <v>0.89459999999999995</v>
      </c>
      <c r="R326" s="367">
        <v>0</v>
      </c>
      <c r="S326" s="366">
        <v>0.89459999999999995</v>
      </c>
      <c r="T326" s="1"/>
      <c r="U326" s="368"/>
      <c r="V326" s="44"/>
      <c r="W326" s="368"/>
      <c r="X326" s="368"/>
      <c r="Y326" s="44"/>
      <c r="Z326" s="44"/>
      <c r="AA326" s="44"/>
      <c r="AB326" s="1"/>
    </row>
    <row r="327" spans="1:28" ht="18" x14ac:dyDescent="0.3">
      <c r="A327" s="1"/>
      <c r="B327" s="364">
        <v>3</v>
      </c>
      <c r="C327" s="68">
        <v>323</v>
      </c>
      <c r="D327" s="69">
        <v>80673635</v>
      </c>
      <c r="E327" s="69" t="s">
        <v>37</v>
      </c>
      <c r="F327" s="24" t="s">
        <v>638</v>
      </c>
      <c r="G327" s="365">
        <v>1</v>
      </c>
      <c r="H327" s="365">
        <v>1</v>
      </c>
      <c r="I327" s="365">
        <v>1</v>
      </c>
      <c r="J327" s="365">
        <v>0.92420000000000002</v>
      </c>
      <c r="K327" s="365">
        <v>1</v>
      </c>
      <c r="L327" s="365">
        <v>0.99739999999999995</v>
      </c>
      <c r="M327" s="365">
        <v>0.8</v>
      </c>
      <c r="N327" s="365">
        <v>1</v>
      </c>
      <c r="O327" s="365">
        <v>0</v>
      </c>
      <c r="P327" s="365">
        <v>1</v>
      </c>
      <c r="Q327" s="366">
        <v>0.9022</v>
      </c>
      <c r="R327" s="367">
        <v>0</v>
      </c>
      <c r="S327" s="366">
        <v>0.9022</v>
      </c>
      <c r="T327" s="1"/>
      <c r="U327" s="368"/>
      <c r="V327" s="44"/>
      <c r="W327" s="368"/>
      <c r="X327" s="368"/>
      <c r="Y327" s="44"/>
      <c r="Z327" s="44"/>
      <c r="AA327" s="44"/>
      <c r="AB327" s="1"/>
    </row>
    <row r="328" spans="1:28" ht="18" x14ac:dyDescent="0.3">
      <c r="A328" s="1"/>
      <c r="B328" s="364">
        <v>4</v>
      </c>
      <c r="C328" s="68">
        <v>324</v>
      </c>
      <c r="D328" s="69">
        <v>80660892</v>
      </c>
      <c r="E328" s="69" t="s">
        <v>38</v>
      </c>
      <c r="F328" s="24" t="s">
        <v>638</v>
      </c>
      <c r="G328" s="365">
        <v>1</v>
      </c>
      <c r="H328" s="365">
        <v>1</v>
      </c>
      <c r="I328" s="365">
        <v>1</v>
      </c>
      <c r="J328" s="365">
        <v>0.95930000000000004</v>
      </c>
      <c r="K328" s="365">
        <v>1</v>
      </c>
      <c r="L328" s="365">
        <v>1</v>
      </c>
      <c r="M328" s="365">
        <v>1</v>
      </c>
      <c r="N328" s="365">
        <v>1</v>
      </c>
      <c r="O328" s="365">
        <v>0</v>
      </c>
      <c r="P328" s="365">
        <v>0.75</v>
      </c>
      <c r="Q328" s="366">
        <v>0.96340000000000003</v>
      </c>
      <c r="R328" s="367">
        <v>0</v>
      </c>
      <c r="S328" s="366">
        <v>0.96340000000000003</v>
      </c>
      <c r="T328" s="1"/>
      <c r="U328" s="368"/>
      <c r="V328" s="44"/>
      <c r="W328" s="368"/>
      <c r="X328" s="368"/>
      <c r="Y328" s="44"/>
      <c r="Z328" s="44"/>
      <c r="AA328" s="44"/>
      <c r="AB328" s="1"/>
    </row>
    <row r="329" spans="1:28" ht="18" x14ac:dyDescent="0.3">
      <c r="A329" s="1"/>
      <c r="B329" s="364">
        <v>5</v>
      </c>
      <c r="C329" s="68">
        <v>325</v>
      </c>
      <c r="D329" s="69">
        <v>80672850</v>
      </c>
      <c r="E329" s="69" t="s">
        <v>39</v>
      </c>
      <c r="F329" s="24" t="s">
        <v>638</v>
      </c>
      <c r="G329" s="365">
        <v>1</v>
      </c>
      <c r="H329" s="365">
        <v>1</v>
      </c>
      <c r="I329" s="365">
        <v>1</v>
      </c>
      <c r="J329" s="365">
        <v>0.92859999999999998</v>
      </c>
      <c r="K329" s="365">
        <v>1</v>
      </c>
      <c r="L329" s="365">
        <v>0.99380000000000002</v>
      </c>
      <c r="M329" s="365">
        <v>0.5</v>
      </c>
      <c r="N329" s="365">
        <v>1</v>
      </c>
      <c r="O329" s="365">
        <v>1</v>
      </c>
      <c r="P329" s="365">
        <v>1</v>
      </c>
      <c r="Q329" s="366">
        <v>0.81720000000000004</v>
      </c>
      <c r="R329" s="367">
        <v>0</v>
      </c>
      <c r="S329" s="366">
        <v>0.81720000000000004</v>
      </c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8" x14ac:dyDescent="0.3">
      <c r="A330" s="1"/>
      <c r="B330" s="364">
        <v>6</v>
      </c>
      <c r="C330" s="68">
        <v>326</v>
      </c>
      <c r="D330" s="69">
        <v>80672632</v>
      </c>
      <c r="E330" s="69" t="s">
        <v>40</v>
      </c>
      <c r="F330" s="24" t="s">
        <v>638</v>
      </c>
      <c r="G330" s="365">
        <v>1</v>
      </c>
      <c r="H330" s="365">
        <v>1</v>
      </c>
      <c r="I330" s="365">
        <v>1</v>
      </c>
      <c r="J330" s="365">
        <v>1</v>
      </c>
      <c r="K330" s="365">
        <v>1</v>
      </c>
      <c r="L330" s="365">
        <v>0.99399999999999999</v>
      </c>
      <c r="M330" s="365">
        <v>1</v>
      </c>
      <c r="N330" s="365">
        <v>1</v>
      </c>
      <c r="O330" s="365">
        <v>1</v>
      </c>
      <c r="P330" s="365">
        <v>1</v>
      </c>
      <c r="Q330" s="366">
        <v>0.99939999999999996</v>
      </c>
      <c r="R330" s="367">
        <v>0</v>
      </c>
      <c r="S330" s="366">
        <v>0.99939999999999996</v>
      </c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8" x14ac:dyDescent="0.3">
      <c r="A331" s="1"/>
      <c r="B331" s="364">
        <v>7</v>
      </c>
      <c r="C331" s="68">
        <v>327</v>
      </c>
      <c r="D331" s="69">
        <v>80674463</v>
      </c>
      <c r="E331" s="69" t="s">
        <v>41</v>
      </c>
      <c r="F331" s="24" t="s">
        <v>638</v>
      </c>
      <c r="G331" s="365">
        <v>1</v>
      </c>
      <c r="H331" s="365">
        <v>1</v>
      </c>
      <c r="I331" s="365">
        <v>1</v>
      </c>
      <c r="J331" s="365">
        <v>0.93600000000000005</v>
      </c>
      <c r="K331" s="365">
        <v>1</v>
      </c>
      <c r="L331" s="365">
        <v>1</v>
      </c>
      <c r="M331" s="365">
        <v>0.8</v>
      </c>
      <c r="N331" s="365">
        <v>0.5</v>
      </c>
      <c r="O331" s="365">
        <v>0</v>
      </c>
      <c r="P331" s="365">
        <v>0.5</v>
      </c>
      <c r="Q331" s="366">
        <v>0.83860000000000001</v>
      </c>
      <c r="R331" s="367">
        <v>0</v>
      </c>
      <c r="S331" s="366">
        <v>0.83860000000000001</v>
      </c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8" x14ac:dyDescent="0.3">
      <c r="A332" s="1"/>
      <c r="B332" s="364">
        <v>1</v>
      </c>
      <c r="C332" s="68">
        <v>328</v>
      </c>
      <c r="D332" s="69">
        <v>80660893</v>
      </c>
      <c r="E332" s="69" t="s">
        <v>185</v>
      </c>
      <c r="F332" s="24" t="s">
        <v>649</v>
      </c>
      <c r="G332" s="365">
        <v>1</v>
      </c>
      <c r="H332" s="365">
        <v>1</v>
      </c>
      <c r="I332" s="365">
        <v>0.98480000000000001</v>
      </c>
      <c r="J332" s="365">
        <v>1</v>
      </c>
      <c r="K332" s="365">
        <v>1</v>
      </c>
      <c r="L332" s="365">
        <v>0.99399999999999999</v>
      </c>
      <c r="M332" s="365">
        <v>0.8</v>
      </c>
      <c r="N332" s="365">
        <v>0.5</v>
      </c>
      <c r="O332" s="365">
        <v>1</v>
      </c>
      <c r="P332" s="365">
        <v>0.75</v>
      </c>
      <c r="Q332" s="366">
        <v>0.87539999999999996</v>
      </c>
      <c r="R332" s="367">
        <v>0</v>
      </c>
      <c r="S332" s="366">
        <v>0.87539999999999996</v>
      </c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8" x14ac:dyDescent="0.3">
      <c r="A333" s="1"/>
      <c r="B333" s="364">
        <v>2</v>
      </c>
      <c r="C333" s="68">
        <v>329</v>
      </c>
      <c r="D333" s="69">
        <v>80664679</v>
      </c>
      <c r="E333" s="69" t="s">
        <v>186</v>
      </c>
      <c r="F333" s="24" t="s">
        <v>649</v>
      </c>
      <c r="G333" s="365">
        <v>0.96</v>
      </c>
      <c r="H333" s="365">
        <v>1</v>
      </c>
      <c r="I333" s="365">
        <v>1</v>
      </c>
      <c r="J333" s="365">
        <v>1</v>
      </c>
      <c r="K333" s="365">
        <v>1</v>
      </c>
      <c r="L333" s="365">
        <v>1</v>
      </c>
      <c r="M333" s="365">
        <v>0.8</v>
      </c>
      <c r="N333" s="365">
        <v>1</v>
      </c>
      <c r="O333" s="365">
        <v>0</v>
      </c>
      <c r="P333" s="365">
        <v>0.5</v>
      </c>
      <c r="Q333" s="366">
        <v>0.88100000000000001</v>
      </c>
      <c r="R333" s="367">
        <v>0</v>
      </c>
      <c r="S333" s="366">
        <v>0.88100000000000001</v>
      </c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8" x14ac:dyDescent="0.3">
      <c r="A334" s="1"/>
      <c r="B334" s="364">
        <v>3</v>
      </c>
      <c r="C334" s="68">
        <v>330</v>
      </c>
      <c r="D334" s="69">
        <v>80664636</v>
      </c>
      <c r="E334" s="69" t="s">
        <v>187</v>
      </c>
      <c r="F334" s="24" t="s">
        <v>649</v>
      </c>
      <c r="G334" s="365">
        <v>1</v>
      </c>
      <c r="H334" s="365">
        <v>1</v>
      </c>
      <c r="I334" s="365">
        <v>1</v>
      </c>
      <c r="J334" s="365">
        <v>1</v>
      </c>
      <c r="K334" s="365">
        <v>1</v>
      </c>
      <c r="L334" s="365">
        <v>0.99639999999999995</v>
      </c>
      <c r="M334" s="365">
        <v>1</v>
      </c>
      <c r="N334" s="365">
        <v>1</v>
      </c>
      <c r="O334" s="365">
        <v>0</v>
      </c>
      <c r="P334" s="365">
        <v>1</v>
      </c>
      <c r="Q334" s="366">
        <v>0.97960000000000003</v>
      </c>
      <c r="R334" s="367">
        <v>0</v>
      </c>
      <c r="S334" s="366">
        <v>0.97960000000000003</v>
      </c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8" x14ac:dyDescent="0.3">
      <c r="A335" s="1"/>
      <c r="B335" s="364">
        <v>4</v>
      </c>
      <c r="C335" s="68">
        <v>331</v>
      </c>
      <c r="D335" s="69">
        <v>80672805</v>
      </c>
      <c r="E335" s="69" t="s">
        <v>188</v>
      </c>
      <c r="F335" s="24" t="s">
        <v>649</v>
      </c>
      <c r="G335" s="365">
        <v>1</v>
      </c>
      <c r="H335" s="365">
        <v>1</v>
      </c>
      <c r="I335" s="365">
        <v>1</v>
      </c>
      <c r="J335" s="365">
        <v>1</v>
      </c>
      <c r="K335" s="365">
        <v>1</v>
      </c>
      <c r="L335" s="365">
        <v>0.99790000000000001</v>
      </c>
      <c r="M335" s="365">
        <v>1</v>
      </c>
      <c r="N335" s="365">
        <v>0.5</v>
      </c>
      <c r="O335" s="365">
        <v>1</v>
      </c>
      <c r="P335" s="365">
        <v>0.5</v>
      </c>
      <c r="Q335" s="366">
        <v>0.93479999999999996</v>
      </c>
      <c r="R335" s="367">
        <v>0</v>
      </c>
      <c r="S335" s="366">
        <v>0.93479999999999996</v>
      </c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8" x14ac:dyDescent="0.3">
      <c r="A336" s="1"/>
      <c r="B336" s="364">
        <v>5</v>
      </c>
      <c r="C336" s="68">
        <v>332</v>
      </c>
      <c r="D336" s="69">
        <v>80673613</v>
      </c>
      <c r="E336" s="69" t="s">
        <v>189</v>
      </c>
      <c r="F336" s="24" t="s">
        <v>649</v>
      </c>
      <c r="G336" s="365">
        <v>1</v>
      </c>
      <c r="H336" s="365">
        <v>1</v>
      </c>
      <c r="I336" s="365">
        <v>1</v>
      </c>
      <c r="J336" s="365">
        <v>1</v>
      </c>
      <c r="K336" s="365">
        <v>1</v>
      </c>
      <c r="L336" s="365">
        <v>1</v>
      </c>
      <c r="M336" s="365">
        <v>1</v>
      </c>
      <c r="N336" s="365">
        <v>1</v>
      </c>
      <c r="O336" s="365">
        <v>0</v>
      </c>
      <c r="P336" s="365">
        <v>1</v>
      </c>
      <c r="Q336" s="366">
        <v>0.98</v>
      </c>
      <c r="R336" s="367">
        <v>0</v>
      </c>
      <c r="S336" s="366">
        <v>0.98</v>
      </c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8" x14ac:dyDescent="0.3">
      <c r="A337" s="1"/>
      <c r="B337" s="364">
        <v>6</v>
      </c>
      <c r="C337" s="68">
        <v>333</v>
      </c>
      <c r="D337" s="69">
        <v>80664157</v>
      </c>
      <c r="E337" s="69" t="s">
        <v>190</v>
      </c>
      <c r="F337" s="24" t="s">
        <v>649</v>
      </c>
      <c r="G337" s="365">
        <v>1</v>
      </c>
      <c r="H337" s="365">
        <v>1</v>
      </c>
      <c r="I337" s="365">
        <v>1</v>
      </c>
      <c r="J337" s="365">
        <v>1</v>
      </c>
      <c r="K337" s="365">
        <v>1</v>
      </c>
      <c r="L337" s="365">
        <v>1</v>
      </c>
      <c r="M337" s="365">
        <v>1</v>
      </c>
      <c r="N337" s="365">
        <v>0.5</v>
      </c>
      <c r="O337" s="365">
        <v>0</v>
      </c>
      <c r="P337" s="365">
        <v>0.75</v>
      </c>
      <c r="Q337" s="366">
        <v>0.92749999999999999</v>
      </c>
      <c r="R337" s="367">
        <v>0</v>
      </c>
      <c r="S337" s="366">
        <v>0.92749999999999999</v>
      </c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8" x14ac:dyDescent="0.3">
      <c r="A338" s="1"/>
      <c r="B338" s="364">
        <v>7</v>
      </c>
      <c r="C338" s="68">
        <v>334</v>
      </c>
      <c r="D338" s="69">
        <v>80664678</v>
      </c>
      <c r="E338" s="69" t="s">
        <v>164</v>
      </c>
      <c r="F338" s="24" t="s">
        <v>690</v>
      </c>
      <c r="G338" s="365">
        <v>1</v>
      </c>
      <c r="H338" s="365">
        <v>0.98</v>
      </c>
      <c r="I338" s="365">
        <v>1</v>
      </c>
      <c r="J338" s="365">
        <v>1</v>
      </c>
      <c r="K338" s="365">
        <v>1</v>
      </c>
      <c r="L338" s="365">
        <v>1</v>
      </c>
      <c r="M338" s="365">
        <v>1</v>
      </c>
      <c r="N338" s="365">
        <v>1</v>
      </c>
      <c r="O338" s="365">
        <v>0</v>
      </c>
      <c r="P338" s="365">
        <v>0.5</v>
      </c>
      <c r="Q338" s="366">
        <v>0.95399999999999996</v>
      </c>
      <c r="R338" s="367">
        <v>0</v>
      </c>
      <c r="S338" s="366">
        <v>0.95399999999999996</v>
      </c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8" x14ac:dyDescent="0.3">
      <c r="A339" s="1"/>
      <c r="B339" s="364">
        <v>8</v>
      </c>
      <c r="C339" s="68">
        <v>335</v>
      </c>
      <c r="D339" s="69">
        <v>80660867</v>
      </c>
      <c r="E339" s="69" t="s">
        <v>165</v>
      </c>
      <c r="F339" s="24" t="s">
        <v>690</v>
      </c>
      <c r="G339" s="365">
        <v>1</v>
      </c>
      <c r="H339" s="365">
        <v>1</v>
      </c>
      <c r="I339" s="365">
        <v>1</v>
      </c>
      <c r="J339" s="365">
        <v>1</v>
      </c>
      <c r="K339" s="365">
        <v>1</v>
      </c>
      <c r="L339" s="365">
        <v>0.99</v>
      </c>
      <c r="M339" s="365">
        <v>0.8</v>
      </c>
      <c r="N339" s="365">
        <v>1</v>
      </c>
      <c r="O339" s="365">
        <v>0</v>
      </c>
      <c r="P339" s="365">
        <v>0.5</v>
      </c>
      <c r="Q339" s="366">
        <v>0.88400000000000001</v>
      </c>
      <c r="R339" s="367">
        <v>0</v>
      </c>
      <c r="S339" s="366">
        <v>0.88400000000000001</v>
      </c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8" x14ac:dyDescent="0.3">
      <c r="A340" s="1"/>
      <c r="B340" s="364">
        <v>1</v>
      </c>
      <c r="C340" s="68">
        <v>336</v>
      </c>
      <c r="D340" s="69">
        <v>80666859</v>
      </c>
      <c r="E340" s="69" t="s">
        <v>168</v>
      </c>
      <c r="F340" s="24" t="s">
        <v>690</v>
      </c>
      <c r="G340" s="365">
        <v>1</v>
      </c>
      <c r="H340" s="365">
        <v>1</v>
      </c>
      <c r="I340" s="365">
        <v>1</v>
      </c>
      <c r="J340" s="365">
        <v>1</v>
      </c>
      <c r="K340" s="365">
        <v>1</v>
      </c>
      <c r="L340" s="365">
        <v>0.96599999999999997</v>
      </c>
      <c r="M340" s="365">
        <v>1</v>
      </c>
      <c r="N340" s="365">
        <v>0.5</v>
      </c>
      <c r="O340" s="365">
        <v>1</v>
      </c>
      <c r="P340" s="365">
        <v>1</v>
      </c>
      <c r="Q340" s="366">
        <v>0.95660000000000001</v>
      </c>
      <c r="R340" s="367">
        <v>0</v>
      </c>
      <c r="S340" s="366">
        <v>0.95660000000000001</v>
      </c>
      <c r="T340" s="1"/>
      <c r="U340" s="368"/>
      <c r="V340" s="44"/>
      <c r="W340" s="368"/>
      <c r="X340" s="368"/>
      <c r="Y340" s="44"/>
      <c r="Z340" s="44"/>
      <c r="AA340" s="44"/>
      <c r="AB340" s="1"/>
    </row>
    <row r="341" spans="1:28" ht="18" x14ac:dyDescent="0.3">
      <c r="A341" s="1"/>
      <c r="B341" s="364">
        <v>3</v>
      </c>
      <c r="C341" s="68">
        <v>337</v>
      </c>
      <c r="D341" s="69">
        <v>80673639</v>
      </c>
      <c r="E341" s="69" t="s">
        <v>169</v>
      </c>
      <c r="F341" s="24" t="s">
        <v>690</v>
      </c>
      <c r="G341" s="365">
        <v>1</v>
      </c>
      <c r="H341" s="365">
        <v>1</v>
      </c>
      <c r="I341" s="365">
        <v>1</v>
      </c>
      <c r="J341" s="365">
        <v>1</v>
      </c>
      <c r="K341" s="365">
        <v>1</v>
      </c>
      <c r="L341" s="365">
        <v>1</v>
      </c>
      <c r="M341" s="365">
        <v>0.8</v>
      </c>
      <c r="N341" s="365">
        <v>1</v>
      </c>
      <c r="O341" s="365">
        <v>1</v>
      </c>
      <c r="P341" s="365">
        <v>1</v>
      </c>
      <c r="Q341" s="366">
        <v>0.93</v>
      </c>
      <c r="R341" s="367">
        <v>0</v>
      </c>
      <c r="S341" s="366">
        <v>0.93</v>
      </c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8" x14ac:dyDescent="0.3">
      <c r="A342" s="1"/>
      <c r="B342" s="364">
        <v>4</v>
      </c>
      <c r="C342" s="68">
        <v>338</v>
      </c>
      <c r="D342" s="69">
        <v>80672151</v>
      </c>
      <c r="E342" s="69" t="s">
        <v>170</v>
      </c>
      <c r="F342" s="24" t="s">
        <v>690</v>
      </c>
      <c r="G342" s="365">
        <v>1</v>
      </c>
      <c r="H342" s="365">
        <v>1</v>
      </c>
      <c r="I342" s="365">
        <v>1</v>
      </c>
      <c r="J342" s="365">
        <v>1</v>
      </c>
      <c r="K342" s="365">
        <v>1</v>
      </c>
      <c r="L342" s="365">
        <v>1</v>
      </c>
      <c r="M342" s="365">
        <v>1</v>
      </c>
      <c r="N342" s="365">
        <v>0.5</v>
      </c>
      <c r="O342" s="365">
        <v>0</v>
      </c>
      <c r="P342" s="365">
        <v>1</v>
      </c>
      <c r="Q342" s="366">
        <v>0.94</v>
      </c>
      <c r="R342" s="367">
        <v>0</v>
      </c>
      <c r="S342" s="366">
        <v>0.94</v>
      </c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8" x14ac:dyDescent="0.3">
      <c r="A343" s="1"/>
      <c r="B343" s="364">
        <v>5</v>
      </c>
      <c r="C343" s="68">
        <v>339</v>
      </c>
      <c r="D343" s="69">
        <v>80672643</v>
      </c>
      <c r="E343" s="69" t="s">
        <v>171</v>
      </c>
      <c r="F343" s="24" t="s">
        <v>690</v>
      </c>
      <c r="G343" s="365">
        <v>0.98</v>
      </c>
      <c r="H343" s="365">
        <v>1</v>
      </c>
      <c r="I343" s="365">
        <v>1</v>
      </c>
      <c r="J343" s="365">
        <v>0.83260000000000001</v>
      </c>
      <c r="K343" s="365">
        <v>0</v>
      </c>
      <c r="L343" s="365">
        <v>1</v>
      </c>
      <c r="M343" s="365">
        <v>1</v>
      </c>
      <c r="N343" s="365">
        <v>0.5</v>
      </c>
      <c r="O343" s="365">
        <v>0</v>
      </c>
      <c r="P343" s="365">
        <v>0.75</v>
      </c>
      <c r="Q343" s="366">
        <v>0.85880000000000001</v>
      </c>
      <c r="R343" s="367">
        <v>0</v>
      </c>
      <c r="S343" s="366">
        <v>0.85880000000000001</v>
      </c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8" x14ac:dyDescent="0.3">
      <c r="A344" s="1"/>
      <c r="B344" s="364">
        <v>6</v>
      </c>
      <c r="C344" s="68">
        <v>340</v>
      </c>
      <c r="D344" s="69">
        <v>80673574</v>
      </c>
      <c r="E344" s="69" t="s">
        <v>339</v>
      </c>
      <c r="F344" s="24" t="s">
        <v>653</v>
      </c>
      <c r="G344" s="365">
        <v>1</v>
      </c>
      <c r="H344" s="365">
        <v>1</v>
      </c>
      <c r="I344" s="365">
        <v>1</v>
      </c>
      <c r="J344" s="365">
        <v>1</v>
      </c>
      <c r="K344" s="365">
        <v>1</v>
      </c>
      <c r="L344" s="365">
        <v>0.99250000000000005</v>
      </c>
      <c r="M344" s="365">
        <v>0.8</v>
      </c>
      <c r="N344" s="365">
        <v>0.5</v>
      </c>
      <c r="O344" s="365">
        <v>0</v>
      </c>
      <c r="P344" s="365">
        <v>1</v>
      </c>
      <c r="Q344" s="366">
        <v>0.86929999999999996</v>
      </c>
      <c r="R344" s="367">
        <v>0</v>
      </c>
      <c r="S344" s="366">
        <v>0.86929999999999996</v>
      </c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8" x14ac:dyDescent="0.3">
      <c r="A345" s="1"/>
      <c r="B345" s="364">
        <v>7</v>
      </c>
      <c r="C345" s="68">
        <v>341</v>
      </c>
      <c r="D345" s="69">
        <v>80665186</v>
      </c>
      <c r="E345" s="69" t="s">
        <v>340</v>
      </c>
      <c r="F345" s="24" t="s">
        <v>653</v>
      </c>
      <c r="G345" s="365">
        <v>1</v>
      </c>
      <c r="H345" s="365">
        <v>1</v>
      </c>
      <c r="I345" s="365">
        <v>1</v>
      </c>
      <c r="J345" s="365">
        <v>1</v>
      </c>
      <c r="K345" s="365">
        <v>1</v>
      </c>
      <c r="L345" s="365">
        <v>1</v>
      </c>
      <c r="M345" s="365">
        <v>1</v>
      </c>
      <c r="N345" s="365">
        <v>1</v>
      </c>
      <c r="O345" s="365">
        <v>0</v>
      </c>
      <c r="P345" s="365">
        <v>1</v>
      </c>
      <c r="Q345" s="366">
        <v>0.98</v>
      </c>
      <c r="R345" s="367">
        <v>0</v>
      </c>
      <c r="S345" s="366">
        <v>0.98</v>
      </c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8" x14ac:dyDescent="0.3">
      <c r="A346" s="1"/>
      <c r="B346" s="364">
        <v>1</v>
      </c>
      <c r="C346" s="68">
        <v>342</v>
      </c>
      <c r="D346" s="69">
        <v>80672160</v>
      </c>
      <c r="E346" s="69" t="s">
        <v>341</v>
      </c>
      <c r="F346" s="24" t="s">
        <v>653</v>
      </c>
      <c r="G346" s="365">
        <v>1</v>
      </c>
      <c r="H346" s="365">
        <v>0.99</v>
      </c>
      <c r="I346" s="365">
        <v>1</v>
      </c>
      <c r="J346" s="365">
        <v>1</v>
      </c>
      <c r="K346" s="365">
        <v>1</v>
      </c>
      <c r="L346" s="365">
        <v>0.99829999999999997</v>
      </c>
      <c r="M346" s="365">
        <v>1</v>
      </c>
      <c r="N346" s="365">
        <v>1</v>
      </c>
      <c r="O346" s="365">
        <v>0</v>
      </c>
      <c r="P346" s="365">
        <v>1</v>
      </c>
      <c r="Q346" s="366">
        <v>0.97929999999999995</v>
      </c>
      <c r="R346" s="367">
        <v>0</v>
      </c>
      <c r="S346" s="366">
        <v>0.97929999999999995</v>
      </c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8" x14ac:dyDescent="0.3">
      <c r="A347" s="1"/>
      <c r="B347" s="364">
        <v>2</v>
      </c>
      <c r="C347" s="68">
        <v>343</v>
      </c>
      <c r="D347" s="69">
        <v>80664666</v>
      </c>
      <c r="E347" s="69" t="s">
        <v>342</v>
      </c>
      <c r="F347" s="24" t="s">
        <v>653</v>
      </c>
      <c r="G347" s="365">
        <v>1</v>
      </c>
      <c r="H347" s="365">
        <v>1</v>
      </c>
      <c r="I347" s="365">
        <v>1</v>
      </c>
      <c r="J347" s="365">
        <v>0.89380000000000004</v>
      </c>
      <c r="K347" s="365">
        <v>1</v>
      </c>
      <c r="L347" s="365">
        <v>0.99399999999999999</v>
      </c>
      <c r="M347" s="365">
        <v>0.8</v>
      </c>
      <c r="N347" s="365">
        <v>0</v>
      </c>
      <c r="O347" s="365">
        <v>0</v>
      </c>
      <c r="P347" s="365">
        <v>1</v>
      </c>
      <c r="Q347" s="366">
        <v>0.81879999999999997</v>
      </c>
      <c r="R347" s="367">
        <v>0</v>
      </c>
      <c r="S347" s="366">
        <v>0.81879999999999997</v>
      </c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8" x14ac:dyDescent="0.3">
      <c r="A348" s="1"/>
      <c r="B348" s="364">
        <v>3</v>
      </c>
      <c r="C348" s="68">
        <v>344</v>
      </c>
      <c r="D348" s="69">
        <v>80672845</v>
      </c>
      <c r="E348" s="69" t="s">
        <v>343</v>
      </c>
      <c r="F348" s="24" t="s">
        <v>653</v>
      </c>
      <c r="G348" s="365">
        <v>1</v>
      </c>
      <c r="H348" s="365">
        <v>1</v>
      </c>
      <c r="I348" s="365">
        <v>1</v>
      </c>
      <c r="J348" s="365">
        <v>0.94550000000000001</v>
      </c>
      <c r="K348" s="365">
        <v>1</v>
      </c>
      <c r="L348" s="365">
        <v>0.9819</v>
      </c>
      <c r="M348" s="365">
        <v>0.8</v>
      </c>
      <c r="N348" s="365">
        <v>1</v>
      </c>
      <c r="O348" s="365">
        <v>0</v>
      </c>
      <c r="P348" s="365">
        <v>0.5</v>
      </c>
      <c r="Q348" s="366">
        <v>0.87770000000000004</v>
      </c>
      <c r="R348" s="367">
        <v>0</v>
      </c>
      <c r="S348" s="366">
        <v>0.87770000000000004</v>
      </c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8" x14ac:dyDescent="0.3">
      <c r="A349" s="1"/>
      <c r="B349" s="364">
        <v>4</v>
      </c>
      <c r="C349" s="68">
        <v>345</v>
      </c>
      <c r="D349" s="69">
        <v>80674461</v>
      </c>
      <c r="E349" s="69" t="s">
        <v>550</v>
      </c>
      <c r="F349" s="24" t="s">
        <v>662</v>
      </c>
      <c r="G349" s="365">
        <v>1</v>
      </c>
      <c r="H349" s="365">
        <v>1</v>
      </c>
      <c r="I349" s="365">
        <v>1</v>
      </c>
      <c r="J349" s="365">
        <v>0.80889999999999995</v>
      </c>
      <c r="K349" s="365">
        <v>0</v>
      </c>
      <c r="L349" s="365">
        <v>0.99170000000000003</v>
      </c>
      <c r="M349" s="365">
        <v>1</v>
      </c>
      <c r="N349" s="365">
        <v>0.5</v>
      </c>
      <c r="O349" s="365">
        <v>1</v>
      </c>
      <c r="P349" s="365">
        <v>1</v>
      </c>
      <c r="Q349" s="366">
        <v>0.8901</v>
      </c>
      <c r="R349" s="367">
        <v>0</v>
      </c>
      <c r="S349" s="366">
        <v>0.8901</v>
      </c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8" x14ac:dyDescent="0.3">
      <c r="A350" s="1"/>
      <c r="B350" s="364">
        <v>5</v>
      </c>
      <c r="C350" s="68">
        <v>346</v>
      </c>
      <c r="D350" s="69">
        <v>80669276</v>
      </c>
      <c r="E350" s="69" t="s">
        <v>551</v>
      </c>
      <c r="F350" s="24" t="s">
        <v>662</v>
      </c>
      <c r="G350" s="365">
        <v>1</v>
      </c>
      <c r="H350" s="365">
        <v>1</v>
      </c>
      <c r="I350" s="365">
        <v>1</v>
      </c>
      <c r="J350" s="365">
        <v>1</v>
      </c>
      <c r="K350" s="365">
        <v>1</v>
      </c>
      <c r="L350" s="365">
        <v>0.99180000000000001</v>
      </c>
      <c r="M350" s="365">
        <v>1</v>
      </c>
      <c r="N350" s="365">
        <v>1</v>
      </c>
      <c r="O350" s="365">
        <v>0</v>
      </c>
      <c r="P350" s="365">
        <v>1</v>
      </c>
      <c r="Q350" s="366">
        <v>0.97919999999999996</v>
      </c>
      <c r="R350" s="367">
        <v>0</v>
      </c>
      <c r="S350" s="366">
        <v>0.97919999999999996</v>
      </c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8" x14ac:dyDescent="0.3">
      <c r="A351" s="1"/>
      <c r="B351" s="364">
        <v>6</v>
      </c>
      <c r="C351" s="68">
        <v>347</v>
      </c>
      <c r="D351" s="69">
        <v>80674456</v>
      </c>
      <c r="E351" s="69" t="s">
        <v>552</v>
      </c>
      <c r="F351" s="24" t="s">
        <v>662</v>
      </c>
      <c r="G351" s="365">
        <v>1</v>
      </c>
      <c r="H351" s="365">
        <v>1</v>
      </c>
      <c r="I351" s="365">
        <v>1</v>
      </c>
      <c r="J351" s="365">
        <v>1</v>
      </c>
      <c r="K351" s="365">
        <v>1</v>
      </c>
      <c r="L351" s="365">
        <v>1</v>
      </c>
      <c r="M351" s="365">
        <v>1</v>
      </c>
      <c r="N351" s="365">
        <v>1</v>
      </c>
      <c r="O351" s="365">
        <v>0</v>
      </c>
      <c r="P351" s="365">
        <v>0.75</v>
      </c>
      <c r="Q351" s="366">
        <v>0.96750000000000003</v>
      </c>
      <c r="R351" s="367">
        <v>0</v>
      </c>
      <c r="S351" s="366">
        <v>0.96750000000000003</v>
      </c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8" x14ac:dyDescent="0.3">
      <c r="A352" s="1"/>
      <c r="B352" s="364">
        <v>7</v>
      </c>
      <c r="C352" s="68">
        <v>348</v>
      </c>
      <c r="D352" s="69">
        <v>80664674</v>
      </c>
      <c r="E352" s="69" t="s">
        <v>553</v>
      </c>
      <c r="F352" s="24" t="s">
        <v>662</v>
      </c>
      <c r="G352" s="365">
        <v>0.98</v>
      </c>
      <c r="H352" s="365">
        <v>1</v>
      </c>
      <c r="I352" s="365">
        <v>1</v>
      </c>
      <c r="J352" s="365">
        <v>1</v>
      </c>
      <c r="K352" s="365">
        <v>1</v>
      </c>
      <c r="L352" s="365">
        <v>0.99790000000000001</v>
      </c>
      <c r="M352" s="365">
        <v>1</v>
      </c>
      <c r="N352" s="365">
        <v>0.5</v>
      </c>
      <c r="O352" s="365">
        <v>0</v>
      </c>
      <c r="P352" s="365">
        <v>1</v>
      </c>
      <c r="Q352" s="366">
        <v>0.93779999999999997</v>
      </c>
      <c r="R352" s="367">
        <v>0</v>
      </c>
      <c r="S352" s="366">
        <v>0.93779999999999997</v>
      </c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8" x14ac:dyDescent="0.3">
      <c r="A353" s="1"/>
      <c r="B353" s="364">
        <v>1</v>
      </c>
      <c r="C353" s="68">
        <v>349</v>
      </c>
      <c r="D353" s="69">
        <v>80673622</v>
      </c>
      <c r="E353" s="69" t="s">
        <v>554</v>
      </c>
      <c r="F353" s="24" t="s">
        <v>662</v>
      </c>
      <c r="G353" s="365">
        <v>1</v>
      </c>
      <c r="H353" s="365">
        <v>1</v>
      </c>
      <c r="I353" s="365">
        <v>1</v>
      </c>
      <c r="J353" s="365">
        <v>0.96879999999999999</v>
      </c>
      <c r="K353" s="365">
        <v>1</v>
      </c>
      <c r="L353" s="365">
        <v>1</v>
      </c>
      <c r="M353" s="365">
        <v>0.8</v>
      </c>
      <c r="N353" s="365">
        <v>0.5</v>
      </c>
      <c r="O353" s="365">
        <v>0</v>
      </c>
      <c r="P353" s="365">
        <v>0.75</v>
      </c>
      <c r="Q353" s="366">
        <v>0.85440000000000005</v>
      </c>
      <c r="R353" s="367">
        <v>0</v>
      </c>
      <c r="S353" s="366">
        <v>0.85440000000000005</v>
      </c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8" x14ac:dyDescent="0.3">
      <c r="A354" s="1"/>
      <c r="B354" s="364">
        <v>2</v>
      </c>
      <c r="C354" s="68">
        <v>350</v>
      </c>
      <c r="D354" s="69">
        <v>80672154</v>
      </c>
      <c r="E354" s="69" t="s">
        <v>555</v>
      </c>
      <c r="F354" s="24" t="s">
        <v>662</v>
      </c>
      <c r="G354" s="365">
        <v>1</v>
      </c>
      <c r="H354" s="365">
        <v>1</v>
      </c>
      <c r="I354" s="365">
        <v>1</v>
      </c>
      <c r="J354" s="365">
        <v>1</v>
      </c>
      <c r="K354" s="365">
        <v>1</v>
      </c>
      <c r="L354" s="365">
        <v>1</v>
      </c>
      <c r="M354" s="365">
        <v>1</v>
      </c>
      <c r="N354" s="365">
        <v>1</v>
      </c>
      <c r="O354" s="365">
        <v>0</v>
      </c>
      <c r="P354" s="365">
        <v>1</v>
      </c>
      <c r="Q354" s="366">
        <v>0.98</v>
      </c>
      <c r="R354" s="367">
        <v>0</v>
      </c>
      <c r="S354" s="366">
        <v>0.98</v>
      </c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8" x14ac:dyDescent="0.3">
      <c r="A355" s="1"/>
      <c r="B355" s="364">
        <v>3</v>
      </c>
      <c r="C355" s="68">
        <v>351</v>
      </c>
      <c r="D355" s="69">
        <v>80671163</v>
      </c>
      <c r="E355" s="69" t="s">
        <v>231</v>
      </c>
      <c r="F355" s="24" t="s">
        <v>650</v>
      </c>
      <c r="G355" s="365">
        <v>1</v>
      </c>
      <c r="H355" s="365">
        <v>1</v>
      </c>
      <c r="I355" s="365">
        <v>1</v>
      </c>
      <c r="J355" s="365">
        <v>1</v>
      </c>
      <c r="K355" s="365">
        <v>1</v>
      </c>
      <c r="L355" s="365">
        <v>1</v>
      </c>
      <c r="M355" s="365">
        <v>1</v>
      </c>
      <c r="N355" s="365">
        <v>0.5</v>
      </c>
      <c r="O355" s="365">
        <v>0</v>
      </c>
      <c r="P355" s="365">
        <v>1</v>
      </c>
      <c r="Q355" s="366">
        <v>0.94</v>
      </c>
      <c r="R355" s="367">
        <v>0</v>
      </c>
      <c r="S355" s="366">
        <v>0.94</v>
      </c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8" x14ac:dyDescent="0.3">
      <c r="A356" s="1"/>
      <c r="B356" s="364">
        <v>4</v>
      </c>
      <c r="C356" s="68">
        <v>352</v>
      </c>
      <c r="D356" s="69">
        <v>80665333</v>
      </c>
      <c r="E356" s="69" t="s">
        <v>232</v>
      </c>
      <c r="F356" s="24" t="s">
        <v>650</v>
      </c>
      <c r="G356" s="365">
        <v>0.98</v>
      </c>
      <c r="H356" s="365">
        <v>1</v>
      </c>
      <c r="I356" s="365">
        <v>1</v>
      </c>
      <c r="J356" s="365">
        <v>0.86809999999999998</v>
      </c>
      <c r="K356" s="365">
        <v>1</v>
      </c>
      <c r="L356" s="365">
        <v>0.91879999999999995</v>
      </c>
      <c r="M356" s="365">
        <v>1</v>
      </c>
      <c r="N356" s="365">
        <v>0.5</v>
      </c>
      <c r="O356" s="365">
        <v>0</v>
      </c>
      <c r="P356" s="365">
        <v>0.5</v>
      </c>
      <c r="Q356" s="366">
        <v>0.89170000000000005</v>
      </c>
      <c r="R356" s="367">
        <v>0</v>
      </c>
      <c r="S356" s="366">
        <v>0.89170000000000005</v>
      </c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8" x14ac:dyDescent="0.3">
      <c r="A357" s="1"/>
      <c r="B357" s="364">
        <v>5</v>
      </c>
      <c r="C357" s="68">
        <v>353</v>
      </c>
      <c r="D357" s="69">
        <v>80659263</v>
      </c>
      <c r="E357" s="69" t="s">
        <v>233</v>
      </c>
      <c r="F357" s="24" t="s">
        <v>650</v>
      </c>
      <c r="G357" s="365">
        <v>1</v>
      </c>
      <c r="H357" s="365">
        <v>1</v>
      </c>
      <c r="I357" s="365">
        <v>1</v>
      </c>
      <c r="J357" s="365">
        <v>1</v>
      </c>
      <c r="K357" s="365">
        <v>1</v>
      </c>
      <c r="L357" s="365">
        <v>1</v>
      </c>
      <c r="M357" s="365">
        <v>0.8</v>
      </c>
      <c r="N357" s="365">
        <v>1</v>
      </c>
      <c r="O357" s="365">
        <v>0</v>
      </c>
      <c r="P357" s="365">
        <v>0.5</v>
      </c>
      <c r="Q357" s="366">
        <v>0.88500000000000001</v>
      </c>
      <c r="R357" s="367">
        <v>0</v>
      </c>
      <c r="S357" s="366">
        <v>0.88500000000000001</v>
      </c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8" x14ac:dyDescent="0.3">
      <c r="A358" s="1"/>
      <c r="B358" s="364">
        <v>6</v>
      </c>
      <c r="C358" s="68">
        <v>354</v>
      </c>
      <c r="D358" s="69">
        <v>80665548</v>
      </c>
      <c r="E358" s="69" t="s">
        <v>234</v>
      </c>
      <c r="F358" s="24" t="s">
        <v>650</v>
      </c>
      <c r="G358" s="365">
        <v>1</v>
      </c>
      <c r="H358" s="365">
        <v>1</v>
      </c>
      <c r="I358" s="365">
        <v>1</v>
      </c>
      <c r="J358" s="365">
        <v>1</v>
      </c>
      <c r="K358" s="365">
        <v>1</v>
      </c>
      <c r="L358" s="365">
        <v>1</v>
      </c>
      <c r="M358" s="365">
        <v>1</v>
      </c>
      <c r="N358" s="365">
        <v>1</v>
      </c>
      <c r="O358" s="365">
        <v>0</v>
      </c>
      <c r="P358" s="365">
        <v>1</v>
      </c>
      <c r="Q358" s="366">
        <v>0.98</v>
      </c>
      <c r="R358" s="367">
        <v>0</v>
      </c>
      <c r="S358" s="366">
        <v>0.98</v>
      </c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8" x14ac:dyDescent="0.3">
      <c r="A359" s="1"/>
      <c r="B359" s="364">
        <v>7</v>
      </c>
      <c r="C359" s="68">
        <v>355</v>
      </c>
      <c r="D359" s="69">
        <v>80661159</v>
      </c>
      <c r="E359" s="69" t="s">
        <v>377</v>
      </c>
      <c r="F359" s="24" t="s">
        <v>666</v>
      </c>
      <c r="G359" s="365">
        <v>1</v>
      </c>
      <c r="H359" s="365">
        <v>1</v>
      </c>
      <c r="I359" s="365">
        <v>1</v>
      </c>
      <c r="J359" s="365">
        <v>0.98709999999999998</v>
      </c>
      <c r="K359" s="365">
        <v>1</v>
      </c>
      <c r="L359" s="365">
        <v>1</v>
      </c>
      <c r="M359" s="365">
        <v>1</v>
      </c>
      <c r="N359" s="365">
        <v>1</v>
      </c>
      <c r="O359" s="365">
        <v>0</v>
      </c>
      <c r="P359" s="365">
        <v>0.75</v>
      </c>
      <c r="Q359" s="366">
        <v>0.96619999999999995</v>
      </c>
      <c r="R359" s="367">
        <v>0</v>
      </c>
      <c r="S359" s="366">
        <v>0.96619999999999995</v>
      </c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8" x14ac:dyDescent="0.3">
      <c r="A360" s="1"/>
      <c r="B360" s="364">
        <v>8</v>
      </c>
      <c r="C360" s="68">
        <v>356</v>
      </c>
      <c r="D360" s="69">
        <v>80660276</v>
      </c>
      <c r="E360" s="69" t="s">
        <v>378</v>
      </c>
      <c r="F360" s="24" t="s">
        <v>666</v>
      </c>
      <c r="G360" s="365">
        <v>1</v>
      </c>
      <c r="H360" s="365">
        <v>1</v>
      </c>
      <c r="I360" s="365">
        <v>1</v>
      </c>
      <c r="J360" s="365">
        <v>1</v>
      </c>
      <c r="K360" s="365">
        <v>1</v>
      </c>
      <c r="L360" s="365">
        <v>1</v>
      </c>
      <c r="M360" s="365">
        <v>1</v>
      </c>
      <c r="N360" s="365">
        <v>1</v>
      </c>
      <c r="O360" s="365">
        <v>0</v>
      </c>
      <c r="P360" s="365">
        <v>0.75</v>
      </c>
      <c r="Q360" s="366">
        <v>0.96750000000000003</v>
      </c>
      <c r="R360" s="367">
        <v>0</v>
      </c>
      <c r="S360" s="366">
        <v>0.96750000000000003</v>
      </c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8" x14ac:dyDescent="0.3">
      <c r="A361" s="1"/>
      <c r="B361" s="364">
        <v>1</v>
      </c>
      <c r="C361" s="68">
        <v>357</v>
      </c>
      <c r="D361" s="69">
        <v>80671875</v>
      </c>
      <c r="E361" s="69" t="s">
        <v>379</v>
      </c>
      <c r="F361" s="24" t="s">
        <v>666</v>
      </c>
      <c r="G361" s="365">
        <v>1</v>
      </c>
      <c r="H361" s="365">
        <v>1</v>
      </c>
      <c r="I361" s="365">
        <v>1</v>
      </c>
      <c r="J361" s="365">
        <v>1</v>
      </c>
      <c r="K361" s="365">
        <v>1</v>
      </c>
      <c r="L361" s="365">
        <v>1</v>
      </c>
      <c r="M361" s="365">
        <v>1</v>
      </c>
      <c r="N361" s="365">
        <v>1</v>
      </c>
      <c r="O361" s="365">
        <v>0</v>
      </c>
      <c r="P361" s="365">
        <v>1</v>
      </c>
      <c r="Q361" s="366">
        <v>0.98</v>
      </c>
      <c r="R361" s="367">
        <v>0</v>
      </c>
      <c r="S361" s="366">
        <v>0.98</v>
      </c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8" x14ac:dyDescent="0.3">
      <c r="A362" s="1"/>
      <c r="B362" s="364">
        <v>2</v>
      </c>
      <c r="C362" s="68">
        <v>358</v>
      </c>
      <c r="D362" s="69">
        <v>80671808</v>
      </c>
      <c r="E362" s="69" t="s">
        <v>380</v>
      </c>
      <c r="F362" s="24" t="s">
        <v>666</v>
      </c>
      <c r="G362" s="365">
        <v>0.98</v>
      </c>
      <c r="H362" s="365">
        <v>1</v>
      </c>
      <c r="I362" s="365">
        <v>1</v>
      </c>
      <c r="J362" s="365">
        <v>1</v>
      </c>
      <c r="K362" s="365">
        <v>1</v>
      </c>
      <c r="L362" s="365">
        <v>1</v>
      </c>
      <c r="M362" s="365">
        <v>1</v>
      </c>
      <c r="N362" s="365">
        <v>1</v>
      </c>
      <c r="O362" s="365">
        <v>0</v>
      </c>
      <c r="P362" s="365">
        <v>1</v>
      </c>
      <c r="Q362" s="366">
        <v>0.97799999999999998</v>
      </c>
      <c r="R362" s="367">
        <v>0</v>
      </c>
      <c r="S362" s="366">
        <v>0.97799999999999998</v>
      </c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8" x14ac:dyDescent="0.3">
      <c r="A363" s="1"/>
      <c r="B363" s="364">
        <v>3</v>
      </c>
      <c r="C363" s="68">
        <v>359</v>
      </c>
      <c r="D363" s="69">
        <v>80671155</v>
      </c>
      <c r="E363" s="69" t="s">
        <v>381</v>
      </c>
      <c r="F363" s="24" t="s">
        <v>666</v>
      </c>
      <c r="G363" s="365">
        <v>1</v>
      </c>
      <c r="H363" s="365">
        <v>1</v>
      </c>
      <c r="I363" s="365">
        <v>1</v>
      </c>
      <c r="J363" s="365">
        <v>0.85429999999999995</v>
      </c>
      <c r="K363" s="365">
        <v>0</v>
      </c>
      <c r="L363" s="365">
        <v>1</v>
      </c>
      <c r="M363" s="365">
        <v>1</v>
      </c>
      <c r="N363" s="365">
        <v>0.5</v>
      </c>
      <c r="O363" s="365">
        <v>0</v>
      </c>
      <c r="P363" s="365">
        <v>1</v>
      </c>
      <c r="Q363" s="366">
        <v>0.87539999999999996</v>
      </c>
      <c r="R363" s="367">
        <v>0</v>
      </c>
      <c r="S363" s="366">
        <v>0.87539999999999996</v>
      </c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8" x14ac:dyDescent="0.3">
      <c r="A364" s="1"/>
      <c r="B364" s="364">
        <v>4</v>
      </c>
      <c r="C364" s="68">
        <v>360</v>
      </c>
      <c r="D364" s="69">
        <v>80660869</v>
      </c>
      <c r="E364" s="69" t="s">
        <v>403</v>
      </c>
      <c r="F364" s="24" t="s">
        <v>643</v>
      </c>
      <c r="G364" s="365">
        <v>1</v>
      </c>
      <c r="H364" s="365">
        <v>0.99</v>
      </c>
      <c r="I364" s="365">
        <v>1</v>
      </c>
      <c r="J364" s="365">
        <v>0.75819999999999999</v>
      </c>
      <c r="K364" s="365">
        <v>1</v>
      </c>
      <c r="L364" s="365">
        <v>0.98560000000000003</v>
      </c>
      <c r="M364" s="365">
        <v>1</v>
      </c>
      <c r="N364" s="365">
        <v>0</v>
      </c>
      <c r="O364" s="365">
        <v>0</v>
      </c>
      <c r="P364" s="365">
        <v>0.5</v>
      </c>
      <c r="Q364" s="366">
        <v>0.84889999999999999</v>
      </c>
      <c r="R364" s="367">
        <v>0</v>
      </c>
      <c r="S364" s="366">
        <v>0.84889999999999999</v>
      </c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8" x14ac:dyDescent="0.3">
      <c r="A365" s="1"/>
      <c r="B365" s="364">
        <v>5</v>
      </c>
      <c r="C365" s="68">
        <v>361</v>
      </c>
      <c r="D365" s="69">
        <v>80671145</v>
      </c>
      <c r="E365" s="69" t="s">
        <v>404</v>
      </c>
      <c r="F365" s="24" t="s">
        <v>643</v>
      </c>
      <c r="G365" s="365">
        <v>1</v>
      </c>
      <c r="H365" s="365">
        <v>1</v>
      </c>
      <c r="I365" s="365">
        <v>1</v>
      </c>
      <c r="J365" s="365">
        <v>0.96430000000000005</v>
      </c>
      <c r="K365" s="365">
        <v>1</v>
      </c>
      <c r="L365" s="365">
        <v>0.98729999999999996</v>
      </c>
      <c r="M365" s="365">
        <v>0.8</v>
      </c>
      <c r="N365" s="365">
        <v>0.5</v>
      </c>
      <c r="O365" s="365">
        <v>0</v>
      </c>
      <c r="P365" s="365">
        <v>1</v>
      </c>
      <c r="Q365" s="366">
        <v>0.86519999999999997</v>
      </c>
      <c r="R365" s="367">
        <v>0</v>
      </c>
      <c r="S365" s="366">
        <v>0.86519999999999997</v>
      </c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8" x14ac:dyDescent="0.3">
      <c r="A366" s="1"/>
      <c r="B366" s="364">
        <v>6</v>
      </c>
      <c r="C366" s="68">
        <v>362</v>
      </c>
      <c r="D366" s="69">
        <v>80671150</v>
      </c>
      <c r="E366" s="69" t="s">
        <v>405</v>
      </c>
      <c r="F366" s="24" t="s">
        <v>643</v>
      </c>
      <c r="G366" s="365">
        <v>1</v>
      </c>
      <c r="H366" s="365">
        <v>1</v>
      </c>
      <c r="I366" s="365">
        <v>1</v>
      </c>
      <c r="J366" s="365">
        <v>1</v>
      </c>
      <c r="K366" s="365">
        <v>1</v>
      </c>
      <c r="L366" s="365">
        <v>0.99199999999999999</v>
      </c>
      <c r="M366" s="365">
        <v>1</v>
      </c>
      <c r="N366" s="365">
        <v>0.5</v>
      </c>
      <c r="O366" s="365">
        <v>1</v>
      </c>
      <c r="P366" s="365">
        <v>1</v>
      </c>
      <c r="Q366" s="366">
        <v>0.95920000000000005</v>
      </c>
      <c r="R366" s="367">
        <v>0</v>
      </c>
      <c r="S366" s="366">
        <v>0.95920000000000005</v>
      </c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8" x14ac:dyDescent="0.3">
      <c r="A367" s="1"/>
      <c r="B367" s="364">
        <v>7</v>
      </c>
      <c r="C367" s="68">
        <v>363</v>
      </c>
      <c r="D367" s="69">
        <v>80669280</v>
      </c>
      <c r="E367" s="69" t="s">
        <v>406</v>
      </c>
      <c r="F367" s="24" t="s">
        <v>643</v>
      </c>
      <c r="G367" s="365">
        <v>1</v>
      </c>
      <c r="H367" s="365">
        <v>1</v>
      </c>
      <c r="I367" s="365">
        <v>1</v>
      </c>
      <c r="J367" s="365">
        <v>1</v>
      </c>
      <c r="K367" s="365">
        <v>1</v>
      </c>
      <c r="L367" s="365">
        <v>0.97119999999999995</v>
      </c>
      <c r="M367" s="365">
        <v>1</v>
      </c>
      <c r="N367" s="365">
        <v>1</v>
      </c>
      <c r="O367" s="365">
        <v>1</v>
      </c>
      <c r="P367" s="365">
        <v>1</v>
      </c>
      <c r="Q367" s="366">
        <v>0.99709999999999999</v>
      </c>
      <c r="R367" s="367">
        <v>0</v>
      </c>
      <c r="S367" s="366">
        <v>0.99709999999999999</v>
      </c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8" x14ac:dyDescent="0.3">
      <c r="A368" s="1"/>
      <c r="B368" s="364">
        <v>1</v>
      </c>
      <c r="C368" s="68">
        <v>364</v>
      </c>
      <c r="D368" s="69">
        <v>80671825</v>
      </c>
      <c r="E368" s="69" t="s">
        <v>407</v>
      </c>
      <c r="F368" s="24" t="s">
        <v>643</v>
      </c>
      <c r="G368" s="365">
        <v>1</v>
      </c>
      <c r="H368" s="365">
        <v>1</v>
      </c>
      <c r="I368" s="365">
        <v>1</v>
      </c>
      <c r="J368" s="365">
        <v>1</v>
      </c>
      <c r="K368" s="365">
        <v>1</v>
      </c>
      <c r="L368" s="365">
        <v>1</v>
      </c>
      <c r="M368" s="365">
        <v>0.8</v>
      </c>
      <c r="N368" s="365">
        <v>1</v>
      </c>
      <c r="O368" s="365">
        <v>0</v>
      </c>
      <c r="P368" s="365">
        <v>1</v>
      </c>
      <c r="Q368" s="366">
        <v>0.91</v>
      </c>
      <c r="R368" s="367">
        <v>0</v>
      </c>
      <c r="S368" s="366">
        <v>0.91</v>
      </c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8" x14ac:dyDescent="0.3">
      <c r="A369" s="1"/>
      <c r="B369" s="364">
        <v>2</v>
      </c>
      <c r="C369" s="68">
        <v>365</v>
      </c>
      <c r="D369" s="69">
        <v>80663076</v>
      </c>
      <c r="E369" s="69" t="s">
        <v>557</v>
      </c>
      <c r="F369" s="24" t="s">
        <v>698</v>
      </c>
      <c r="G369" s="365">
        <v>1</v>
      </c>
      <c r="H369" s="365">
        <v>1</v>
      </c>
      <c r="I369" s="365">
        <v>1</v>
      </c>
      <c r="J369" s="365">
        <v>1</v>
      </c>
      <c r="K369" s="365">
        <v>1</v>
      </c>
      <c r="L369" s="365">
        <v>0.98499999999999999</v>
      </c>
      <c r="M369" s="365">
        <v>1</v>
      </c>
      <c r="N369" s="365">
        <v>0.5</v>
      </c>
      <c r="O369" s="365">
        <v>0</v>
      </c>
      <c r="P369" s="365">
        <v>1</v>
      </c>
      <c r="Q369" s="366">
        <v>0.9385</v>
      </c>
      <c r="R369" s="367">
        <v>0</v>
      </c>
      <c r="S369" s="366">
        <v>0.9385</v>
      </c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8" x14ac:dyDescent="0.3">
      <c r="A370" s="1"/>
      <c r="B370" s="364">
        <v>3</v>
      </c>
      <c r="C370" s="68">
        <v>366</v>
      </c>
      <c r="D370" s="69">
        <v>80674465</v>
      </c>
      <c r="E370" s="69" t="s">
        <v>558</v>
      </c>
      <c r="F370" s="24" t="s">
        <v>698</v>
      </c>
      <c r="G370" s="365">
        <v>1</v>
      </c>
      <c r="H370" s="365">
        <v>1</v>
      </c>
      <c r="I370" s="365">
        <v>1</v>
      </c>
      <c r="J370" s="365">
        <v>0.98040000000000005</v>
      </c>
      <c r="K370" s="365">
        <v>0</v>
      </c>
      <c r="L370" s="365">
        <v>1</v>
      </c>
      <c r="M370" s="365">
        <v>0.8</v>
      </c>
      <c r="N370" s="365">
        <v>1</v>
      </c>
      <c r="O370" s="365">
        <v>0</v>
      </c>
      <c r="P370" s="365">
        <v>0.75</v>
      </c>
      <c r="Q370" s="366">
        <v>0.84550000000000003</v>
      </c>
      <c r="R370" s="367">
        <v>0</v>
      </c>
      <c r="S370" s="366">
        <v>0.84550000000000003</v>
      </c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8" x14ac:dyDescent="0.3">
      <c r="A371" s="1"/>
      <c r="B371" s="364">
        <v>4</v>
      </c>
      <c r="C371" s="68">
        <v>367</v>
      </c>
      <c r="D371" s="69">
        <v>80665319</v>
      </c>
      <c r="E371" s="69" t="s">
        <v>559</v>
      </c>
      <c r="F371" s="24" t="s">
        <v>698</v>
      </c>
      <c r="G371" s="365">
        <v>0.98</v>
      </c>
      <c r="H371" s="365">
        <v>1</v>
      </c>
      <c r="I371" s="365">
        <v>1</v>
      </c>
      <c r="J371" s="365">
        <v>1</v>
      </c>
      <c r="K371" s="365">
        <v>1</v>
      </c>
      <c r="L371" s="365">
        <v>0.99060000000000004</v>
      </c>
      <c r="M371" s="365">
        <v>0.8</v>
      </c>
      <c r="N371" s="365">
        <v>0.5</v>
      </c>
      <c r="O371" s="365">
        <v>0</v>
      </c>
      <c r="P371" s="365">
        <v>1</v>
      </c>
      <c r="Q371" s="366">
        <v>0.86709999999999998</v>
      </c>
      <c r="R371" s="367">
        <v>0</v>
      </c>
      <c r="S371" s="366">
        <v>0.86709999999999998</v>
      </c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8" x14ac:dyDescent="0.3">
      <c r="A372" s="1"/>
      <c r="B372" s="364">
        <v>5</v>
      </c>
      <c r="C372" s="68">
        <v>368</v>
      </c>
      <c r="D372" s="69">
        <v>80673102</v>
      </c>
      <c r="E372" s="69" t="s">
        <v>560</v>
      </c>
      <c r="F372" s="24" t="s">
        <v>698</v>
      </c>
      <c r="G372" s="365">
        <v>1</v>
      </c>
      <c r="H372" s="365">
        <v>1</v>
      </c>
      <c r="I372" s="365">
        <v>1</v>
      </c>
      <c r="J372" s="365">
        <v>1</v>
      </c>
      <c r="K372" s="365">
        <v>1</v>
      </c>
      <c r="L372" s="365">
        <v>1</v>
      </c>
      <c r="M372" s="365">
        <v>0.8</v>
      </c>
      <c r="N372" s="365">
        <v>1</v>
      </c>
      <c r="O372" s="365">
        <v>0</v>
      </c>
      <c r="P372" s="365">
        <v>1</v>
      </c>
      <c r="Q372" s="366">
        <v>0.91</v>
      </c>
      <c r="R372" s="367">
        <v>0</v>
      </c>
      <c r="S372" s="366">
        <v>0.91</v>
      </c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8" x14ac:dyDescent="0.3">
      <c r="A373" s="1"/>
      <c r="B373" s="364">
        <v>6</v>
      </c>
      <c r="C373" s="68">
        <v>369</v>
      </c>
      <c r="D373" s="69">
        <v>80674467</v>
      </c>
      <c r="E373" s="69" t="s">
        <v>561</v>
      </c>
      <c r="F373" s="24" t="s">
        <v>698</v>
      </c>
      <c r="G373" s="365">
        <v>0.98</v>
      </c>
      <c r="H373" s="365">
        <v>0.99</v>
      </c>
      <c r="I373" s="365">
        <v>0.99150000000000005</v>
      </c>
      <c r="J373" s="365">
        <v>0.99060000000000004</v>
      </c>
      <c r="K373" s="365">
        <v>1</v>
      </c>
      <c r="L373" s="365">
        <v>0.99629999999999996</v>
      </c>
      <c r="M373" s="365">
        <v>0.8</v>
      </c>
      <c r="N373" s="365">
        <v>1</v>
      </c>
      <c r="O373" s="365">
        <v>0</v>
      </c>
      <c r="P373" s="365">
        <v>1</v>
      </c>
      <c r="Q373" s="366">
        <v>0.90529999999999999</v>
      </c>
      <c r="R373" s="367">
        <v>0</v>
      </c>
      <c r="S373" s="366">
        <v>0.90529999999999999</v>
      </c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8" x14ac:dyDescent="0.3">
      <c r="A374" s="1"/>
      <c r="B374" s="364">
        <v>7</v>
      </c>
      <c r="C374" s="68">
        <v>370</v>
      </c>
      <c r="D374" s="69">
        <v>80668963</v>
      </c>
      <c r="E374" s="69" t="s">
        <v>307</v>
      </c>
      <c r="F374" s="24" t="s">
        <v>686</v>
      </c>
      <c r="G374" s="365">
        <v>0.98</v>
      </c>
      <c r="H374" s="365">
        <v>1</v>
      </c>
      <c r="I374" s="365">
        <v>1</v>
      </c>
      <c r="J374" s="365">
        <v>1</v>
      </c>
      <c r="K374" s="365">
        <v>1</v>
      </c>
      <c r="L374" s="365">
        <v>0.99790000000000001</v>
      </c>
      <c r="M374" s="365">
        <v>1</v>
      </c>
      <c r="N374" s="365">
        <v>1</v>
      </c>
      <c r="O374" s="365">
        <v>0</v>
      </c>
      <c r="P374" s="365">
        <v>0.75</v>
      </c>
      <c r="Q374" s="366">
        <v>0.96530000000000005</v>
      </c>
      <c r="R374" s="367">
        <v>0</v>
      </c>
      <c r="S374" s="366">
        <v>0.96530000000000005</v>
      </c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8" x14ac:dyDescent="0.3">
      <c r="A375" s="1"/>
      <c r="B375" s="364">
        <v>1</v>
      </c>
      <c r="C375" s="68">
        <v>371</v>
      </c>
      <c r="D375" s="69">
        <v>80661143</v>
      </c>
      <c r="E375" s="69" t="s">
        <v>308</v>
      </c>
      <c r="F375" s="24" t="s">
        <v>686</v>
      </c>
      <c r="G375" s="365">
        <v>1</v>
      </c>
      <c r="H375" s="365">
        <v>0.99</v>
      </c>
      <c r="I375" s="365">
        <v>1</v>
      </c>
      <c r="J375" s="365">
        <v>1</v>
      </c>
      <c r="K375" s="365">
        <v>1</v>
      </c>
      <c r="L375" s="365">
        <v>0.9173</v>
      </c>
      <c r="M375" s="365">
        <v>1</v>
      </c>
      <c r="N375" s="365">
        <v>0</v>
      </c>
      <c r="O375" s="365">
        <v>0</v>
      </c>
      <c r="P375" s="365">
        <v>1</v>
      </c>
      <c r="Q375" s="366">
        <v>0.89119999999999999</v>
      </c>
      <c r="R375" s="367">
        <v>0</v>
      </c>
      <c r="S375" s="366">
        <v>0.89119999999999999</v>
      </c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8" x14ac:dyDescent="0.3">
      <c r="A376" s="1"/>
      <c r="B376" s="364">
        <v>2</v>
      </c>
      <c r="C376" s="68">
        <v>372</v>
      </c>
      <c r="D376" s="69">
        <v>80673120</v>
      </c>
      <c r="E376" s="69" t="s">
        <v>309</v>
      </c>
      <c r="F376" s="24" t="s">
        <v>686</v>
      </c>
      <c r="G376" s="365">
        <v>0.98</v>
      </c>
      <c r="H376" s="365">
        <v>1</v>
      </c>
      <c r="I376" s="365">
        <v>1</v>
      </c>
      <c r="J376" s="365">
        <v>0.89190000000000003</v>
      </c>
      <c r="K376" s="365">
        <v>1</v>
      </c>
      <c r="L376" s="365">
        <v>0.98029999999999995</v>
      </c>
      <c r="M376" s="365">
        <v>1</v>
      </c>
      <c r="N376" s="365">
        <v>0</v>
      </c>
      <c r="O376" s="365">
        <v>0</v>
      </c>
      <c r="P376" s="365">
        <v>0.75</v>
      </c>
      <c r="Q376" s="366">
        <v>0.87270000000000003</v>
      </c>
      <c r="R376" s="367">
        <v>0</v>
      </c>
      <c r="S376" s="366">
        <v>0.87270000000000003</v>
      </c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8" x14ac:dyDescent="0.3">
      <c r="A377" s="1"/>
      <c r="B377" s="364">
        <v>3</v>
      </c>
      <c r="C377" s="68">
        <v>373</v>
      </c>
      <c r="D377" s="69">
        <v>80673122</v>
      </c>
      <c r="E377" s="69" t="s">
        <v>310</v>
      </c>
      <c r="F377" s="24" t="s">
        <v>686</v>
      </c>
      <c r="G377" s="365">
        <v>1</v>
      </c>
      <c r="H377" s="365">
        <v>1</v>
      </c>
      <c r="I377" s="365">
        <v>1</v>
      </c>
      <c r="J377" s="365">
        <v>1</v>
      </c>
      <c r="K377" s="365">
        <v>1</v>
      </c>
      <c r="L377" s="365">
        <v>0.99590000000000001</v>
      </c>
      <c r="M377" s="365">
        <v>1</v>
      </c>
      <c r="N377" s="365">
        <v>1</v>
      </c>
      <c r="O377" s="365">
        <v>0</v>
      </c>
      <c r="P377" s="365">
        <v>0.5</v>
      </c>
      <c r="Q377" s="366">
        <v>0.9546</v>
      </c>
      <c r="R377" s="367">
        <v>0</v>
      </c>
      <c r="S377" s="366">
        <v>0.9546</v>
      </c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8" x14ac:dyDescent="0.3">
      <c r="A378" s="1"/>
      <c r="B378" s="364">
        <v>4</v>
      </c>
      <c r="C378" s="68">
        <v>374</v>
      </c>
      <c r="D378" s="69">
        <v>80671874</v>
      </c>
      <c r="E378" s="69" t="s">
        <v>409</v>
      </c>
      <c r="F378" s="24" t="s">
        <v>641</v>
      </c>
      <c r="G378" s="365">
        <v>1</v>
      </c>
      <c r="H378" s="365">
        <v>1</v>
      </c>
      <c r="I378" s="365">
        <v>1</v>
      </c>
      <c r="J378" s="365">
        <v>1</v>
      </c>
      <c r="K378" s="365">
        <v>1</v>
      </c>
      <c r="L378" s="365">
        <v>0.99460000000000004</v>
      </c>
      <c r="M378" s="365">
        <v>0.8</v>
      </c>
      <c r="N378" s="365">
        <v>0.5</v>
      </c>
      <c r="O378" s="365">
        <v>0</v>
      </c>
      <c r="P378" s="365">
        <v>1</v>
      </c>
      <c r="Q378" s="366">
        <v>0.86950000000000005</v>
      </c>
      <c r="R378" s="367">
        <v>0</v>
      </c>
      <c r="S378" s="366">
        <v>0.86950000000000005</v>
      </c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8" x14ac:dyDescent="0.3">
      <c r="A379" s="1"/>
      <c r="B379" s="364">
        <v>5</v>
      </c>
      <c r="C379" s="68">
        <v>375</v>
      </c>
      <c r="D379" s="69">
        <v>80671158</v>
      </c>
      <c r="E379" s="69" t="s">
        <v>410</v>
      </c>
      <c r="F379" s="24" t="s">
        <v>641</v>
      </c>
      <c r="G379" s="365">
        <v>0.94</v>
      </c>
      <c r="H379" s="365">
        <v>1</v>
      </c>
      <c r="I379" s="365">
        <v>1</v>
      </c>
      <c r="J379" s="365">
        <v>1</v>
      </c>
      <c r="K379" s="365">
        <v>1</v>
      </c>
      <c r="L379" s="365">
        <v>1</v>
      </c>
      <c r="M379" s="365">
        <v>1</v>
      </c>
      <c r="N379" s="365">
        <v>1</v>
      </c>
      <c r="O379" s="365">
        <v>0</v>
      </c>
      <c r="P379" s="365">
        <v>1</v>
      </c>
      <c r="Q379" s="366">
        <v>0.97399999999999998</v>
      </c>
      <c r="R379" s="367">
        <v>0</v>
      </c>
      <c r="S379" s="366">
        <v>0.97399999999999998</v>
      </c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8" x14ac:dyDescent="0.3">
      <c r="A380" s="1"/>
      <c r="B380" s="364">
        <v>6</v>
      </c>
      <c r="C380" s="68">
        <v>376</v>
      </c>
      <c r="D380" s="69">
        <v>80657750</v>
      </c>
      <c r="E380" s="69" t="s">
        <v>411</v>
      </c>
      <c r="F380" s="24" t="s">
        <v>641</v>
      </c>
      <c r="G380" s="365">
        <v>0.94</v>
      </c>
      <c r="H380" s="365">
        <v>1</v>
      </c>
      <c r="I380" s="365">
        <v>1</v>
      </c>
      <c r="J380" s="365">
        <v>0.76959999999999995</v>
      </c>
      <c r="K380" s="365">
        <v>1</v>
      </c>
      <c r="L380" s="365">
        <v>0.99870000000000003</v>
      </c>
      <c r="M380" s="365">
        <v>1</v>
      </c>
      <c r="N380" s="365">
        <v>0</v>
      </c>
      <c r="O380" s="365">
        <v>0</v>
      </c>
      <c r="P380" s="365">
        <v>0.5</v>
      </c>
      <c r="Q380" s="366">
        <v>0.8458</v>
      </c>
      <c r="R380" s="367">
        <v>0</v>
      </c>
      <c r="S380" s="366">
        <v>0.8458</v>
      </c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8" x14ac:dyDescent="0.3">
      <c r="A381" s="1"/>
      <c r="B381" s="364">
        <v>7</v>
      </c>
      <c r="C381" s="68">
        <v>377</v>
      </c>
      <c r="D381" s="69">
        <v>80674451</v>
      </c>
      <c r="E381" s="69" t="s">
        <v>412</v>
      </c>
      <c r="F381" s="24" t="s">
        <v>641</v>
      </c>
      <c r="G381" s="365">
        <v>1</v>
      </c>
      <c r="H381" s="365">
        <v>0.99</v>
      </c>
      <c r="I381" s="365">
        <v>1</v>
      </c>
      <c r="J381" s="365">
        <v>0.75980000000000003</v>
      </c>
      <c r="K381" s="365">
        <v>0</v>
      </c>
      <c r="L381" s="365">
        <v>0.9738</v>
      </c>
      <c r="M381" s="365">
        <v>0.8</v>
      </c>
      <c r="N381" s="365">
        <v>1</v>
      </c>
      <c r="O381" s="365">
        <v>0</v>
      </c>
      <c r="P381" s="365">
        <v>0.5</v>
      </c>
      <c r="Q381" s="366">
        <v>0.80789999999999995</v>
      </c>
      <c r="R381" s="367">
        <v>0</v>
      </c>
      <c r="S381" s="366">
        <v>0.80789999999999995</v>
      </c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8" x14ac:dyDescent="0.3">
      <c r="A382" s="1"/>
      <c r="B382" s="364">
        <v>1</v>
      </c>
      <c r="C382" s="68">
        <v>378</v>
      </c>
      <c r="D382" s="69">
        <v>80670777</v>
      </c>
      <c r="E382" s="69" t="s">
        <v>413</v>
      </c>
      <c r="F382" s="24" t="s">
        <v>641</v>
      </c>
      <c r="G382" s="365">
        <v>0.98</v>
      </c>
      <c r="H382" s="365">
        <v>0.99</v>
      </c>
      <c r="I382" s="365">
        <v>1</v>
      </c>
      <c r="J382" s="365">
        <v>1</v>
      </c>
      <c r="K382" s="365">
        <v>1</v>
      </c>
      <c r="L382" s="365">
        <v>1</v>
      </c>
      <c r="M382" s="365">
        <v>1</v>
      </c>
      <c r="N382" s="365">
        <v>1</v>
      </c>
      <c r="O382" s="365">
        <v>1</v>
      </c>
      <c r="P382" s="365">
        <v>1</v>
      </c>
      <c r="Q382" s="366">
        <v>0.99750000000000005</v>
      </c>
      <c r="R382" s="367">
        <v>0</v>
      </c>
      <c r="S382" s="366">
        <v>0.99750000000000005</v>
      </c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8" x14ac:dyDescent="0.3">
      <c r="A383" s="1"/>
      <c r="B383" s="364">
        <v>2</v>
      </c>
      <c r="C383" s="68">
        <v>379</v>
      </c>
      <c r="D383" s="69">
        <v>80660895</v>
      </c>
      <c r="E383" s="69" t="s">
        <v>129</v>
      </c>
      <c r="F383" s="24" t="s">
        <v>699</v>
      </c>
      <c r="G383" s="365">
        <v>1</v>
      </c>
      <c r="H383" s="365">
        <v>1</v>
      </c>
      <c r="I383" s="365">
        <v>0.98170000000000002</v>
      </c>
      <c r="J383" s="365">
        <v>0.94499999999999995</v>
      </c>
      <c r="K383" s="365">
        <v>1</v>
      </c>
      <c r="L383" s="365">
        <v>0.99629999999999996</v>
      </c>
      <c r="M383" s="365">
        <v>0.8</v>
      </c>
      <c r="N383" s="365">
        <v>0.5</v>
      </c>
      <c r="O383" s="365">
        <v>0</v>
      </c>
      <c r="P383" s="365">
        <v>0.5</v>
      </c>
      <c r="Q383" s="366">
        <v>0.83730000000000004</v>
      </c>
      <c r="R383" s="367">
        <v>0</v>
      </c>
      <c r="S383" s="366">
        <v>0.83730000000000004</v>
      </c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8" x14ac:dyDescent="0.3">
      <c r="A384" s="1"/>
      <c r="B384" s="364">
        <v>3</v>
      </c>
      <c r="C384" s="68">
        <v>380</v>
      </c>
      <c r="D384" s="69">
        <v>80661190</v>
      </c>
      <c r="E384" s="69" t="s">
        <v>130</v>
      </c>
      <c r="F384" s="24" t="s">
        <v>699</v>
      </c>
      <c r="G384" s="365">
        <v>0.96</v>
      </c>
      <c r="H384" s="365">
        <v>0.99</v>
      </c>
      <c r="I384" s="365">
        <v>1</v>
      </c>
      <c r="J384" s="365">
        <v>1</v>
      </c>
      <c r="K384" s="365">
        <v>1</v>
      </c>
      <c r="L384" s="365">
        <v>0.99270000000000003</v>
      </c>
      <c r="M384" s="365">
        <v>0.8</v>
      </c>
      <c r="N384" s="365">
        <v>0.5</v>
      </c>
      <c r="O384" s="365">
        <v>0</v>
      </c>
      <c r="P384" s="365">
        <v>1</v>
      </c>
      <c r="Q384" s="366">
        <v>0.86480000000000001</v>
      </c>
      <c r="R384" s="367">
        <v>0</v>
      </c>
      <c r="S384" s="366">
        <v>0.86480000000000001</v>
      </c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8" x14ac:dyDescent="0.3">
      <c r="A385" s="1"/>
      <c r="B385" s="364">
        <v>4</v>
      </c>
      <c r="C385" s="68">
        <v>381</v>
      </c>
      <c r="D385" s="69">
        <v>80668532</v>
      </c>
      <c r="E385" s="69" t="s">
        <v>131</v>
      </c>
      <c r="F385" s="24" t="s">
        <v>699</v>
      </c>
      <c r="G385" s="365">
        <v>1</v>
      </c>
      <c r="H385" s="365">
        <v>1</v>
      </c>
      <c r="I385" s="365">
        <v>1</v>
      </c>
      <c r="J385" s="365">
        <v>1</v>
      </c>
      <c r="K385" s="365">
        <v>1</v>
      </c>
      <c r="L385" s="365">
        <v>0.99170000000000003</v>
      </c>
      <c r="M385" s="365">
        <v>0.8</v>
      </c>
      <c r="N385" s="365">
        <v>0.5</v>
      </c>
      <c r="O385" s="365">
        <v>0</v>
      </c>
      <c r="P385" s="365">
        <v>0.5</v>
      </c>
      <c r="Q385" s="366">
        <v>0.84419999999999995</v>
      </c>
      <c r="R385" s="367">
        <v>0</v>
      </c>
      <c r="S385" s="366">
        <v>0.84419999999999995</v>
      </c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8" x14ac:dyDescent="0.3">
      <c r="A386" s="1"/>
      <c r="B386" s="364">
        <v>5</v>
      </c>
      <c r="C386" s="68">
        <v>382</v>
      </c>
      <c r="D386" s="69">
        <v>80662051</v>
      </c>
      <c r="E386" s="69" t="s">
        <v>132</v>
      </c>
      <c r="F386" s="24" t="s">
        <v>699</v>
      </c>
      <c r="G386" s="365">
        <v>1</v>
      </c>
      <c r="H386" s="365">
        <v>1</v>
      </c>
      <c r="I386" s="365">
        <v>1</v>
      </c>
      <c r="J386" s="365">
        <v>0.95540000000000003</v>
      </c>
      <c r="K386" s="365">
        <v>1</v>
      </c>
      <c r="L386" s="365">
        <v>0.85699999999999998</v>
      </c>
      <c r="M386" s="365">
        <v>0.8</v>
      </c>
      <c r="N386" s="365">
        <v>1</v>
      </c>
      <c r="O386" s="365">
        <v>0</v>
      </c>
      <c r="P386" s="365">
        <v>0.75</v>
      </c>
      <c r="Q386" s="366">
        <v>0.87870000000000004</v>
      </c>
      <c r="R386" s="367">
        <v>0</v>
      </c>
      <c r="S386" s="366">
        <v>0.87870000000000004</v>
      </c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8" x14ac:dyDescent="0.3">
      <c r="A387" s="1"/>
      <c r="B387" s="364">
        <v>6</v>
      </c>
      <c r="C387" s="68">
        <v>383</v>
      </c>
      <c r="D387" s="69">
        <v>80670968</v>
      </c>
      <c r="E387" s="69" t="s">
        <v>133</v>
      </c>
      <c r="F387" s="24" t="s">
        <v>699</v>
      </c>
      <c r="G387" s="365">
        <v>1</v>
      </c>
      <c r="H387" s="365">
        <v>1</v>
      </c>
      <c r="I387" s="365">
        <v>1</v>
      </c>
      <c r="J387" s="365">
        <v>0.93530000000000002</v>
      </c>
      <c r="K387" s="365">
        <v>0</v>
      </c>
      <c r="L387" s="365">
        <v>1</v>
      </c>
      <c r="M387" s="365">
        <v>1</v>
      </c>
      <c r="N387" s="365">
        <v>1</v>
      </c>
      <c r="O387" s="365">
        <v>1</v>
      </c>
      <c r="P387" s="365">
        <v>0.5</v>
      </c>
      <c r="Q387" s="366">
        <v>0.91849999999999998</v>
      </c>
      <c r="R387" s="367">
        <v>0</v>
      </c>
      <c r="S387" s="366">
        <v>0.91849999999999998</v>
      </c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8" x14ac:dyDescent="0.3">
      <c r="A388" s="1"/>
      <c r="B388" s="364">
        <v>7</v>
      </c>
      <c r="C388" s="68">
        <v>384</v>
      </c>
      <c r="D388" s="69">
        <v>80674448</v>
      </c>
      <c r="E388" s="69" t="s">
        <v>134</v>
      </c>
      <c r="F388" s="24" t="s">
        <v>699</v>
      </c>
      <c r="G388" s="365">
        <v>1</v>
      </c>
      <c r="H388" s="365">
        <v>1</v>
      </c>
      <c r="I388" s="365">
        <v>1</v>
      </c>
      <c r="J388" s="365">
        <v>0.94199999999999995</v>
      </c>
      <c r="K388" s="365">
        <v>1</v>
      </c>
      <c r="L388" s="365">
        <v>1</v>
      </c>
      <c r="M388" s="365">
        <v>1</v>
      </c>
      <c r="N388" s="365">
        <v>0.5</v>
      </c>
      <c r="O388" s="365">
        <v>1</v>
      </c>
      <c r="P388" s="365">
        <v>0.5</v>
      </c>
      <c r="Q388" s="366">
        <v>0.92920000000000003</v>
      </c>
      <c r="R388" s="367">
        <v>0</v>
      </c>
      <c r="S388" s="366">
        <v>0.92920000000000003</v>
      </c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8" x14ac:dyDescent="0.3">
      <c r="A389" s="1"/>
      <c r="B389" s="364">
        <v>1</v>
      </c>
      <c r="C389" s="68">
        <v>385</v>
      </c>
      <c r="D389" s="69">
        <v>80660864</v>
      </c>
      <c r="E389" s="69" t="s">
        <v>493</v>
      </c>
      <c r="F389" s="24" t="s">
        <v>652</v>
      </c>
      <c r="G389" s="365">
        <v>1</v>
      </c>
      <c r="H389" s="365">
        <v>1</v>
      </c>
      <c r="I389" s="365">
        <v>1</v>
      </c>
      <c r="J389" s="365">
        <v>1</v>
      </c>
      <c r="K389" s="365">
        <v>1</v>
      </c>
      <c r="L389" s="365">
        <v>0.99399999999999999</v>
      </c>
      <c r="M389" s="365">
        <v>1</v>
      </c>
      <c r="N389" s="365">
        <v>1</v>
      </c>
      <c r="O389" s="365">
        <v>0</v>
      </c>
      <c r="P389" s="365">
        <v>1</v>
      </c>
      <c r="Q389" s="366">
        <v>0.97940000000000005</v>
      </c>
      <c r="R389" s="367">
        <v>0</v>
      </c>
      <c r="S389" s="366">
        <v>0.97940000000000005</v>
      </c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8" x14ac:dyDescent="0.3">
      <c r="A390" s="1"/>
      <c r="B390" s="364">
        <v>2</v>
      </c>
      <c r="C390" s="68">
        <v>386</v>
      </c>
      <c r="D390" s="69">
        <v>80670778</v>
      </c>
      <c r="E390" s="69" t="s">
        <v>494</v>
      </c>
      <c r="F390" s="24" t="s">
        <v>652</v>
      </c>
      <c r="G390" s="365">
        <v>1</v>
      </c>
      <c r="H390" s="365">
        <v>1</v>
      </c>
      <c r="I390" s="365">
        <v>1</v>
      </c>
      <c r="J390" s="365">
        <v>1</v>
      </c>
      <c r="K390" s="365">
        <v>1</v>
      </c>
      <c r="L390" s="365">
        <v>1</v>
      </c>
      <c r="M390" s="365">
        <v>1</v>
      </c>
      <c r="N390" s="365">
        <v>1</v>
      </c>
      <c r="O390" s="365">
        <v>0</v>
      </c>
      <c r="P390" s="365">
        <v>1</v>
      </c>
      <c r="Q390" s="366">
        <v>0.98</v>
      </c>
      <c r="R390" s="367">
        <v>0</v>
      </c>
      <c r="S390" s="366">
        <v>0.98</v>
      </c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8" x14ac:dyDescent="0.3">
      <c r="A391" s="1"/>
      <c r="B391" s="364">
        <v>3</v>
      </c>
      <c r="C391" s="68">
        <v>387</v>
      </c>
      <c r="D391" s="69">
        <v>80668960</v>
      </c>
      <c r="E391" s="69" t="s">
        <v>495</v>
      </c>
      <c r="F391" s="24" t="s">
        <v>652</v>
      </c>
      <c r="G391" s="365">
        <v>1</v>
      </c>
      <c r="H391" s="365">
        <v>1</v>
      </c>
      <c r="I391" s="365">
        <v>1</v>
      </c>
      <c r="J391" s="365">
        <v>1</v>
      </c>
      <c r="K391" s="365">
        <v>1</v>
      </c>
      <c r="L391" s="365">
        <v>1</v>
      </c>
      <c r="M391" s="365">
        <v>0.8</v>
      </c>
      <c r="N391" s="365">
        <v>1</v>
      </c>
      <c r="O391" s="365">
        <v>0</v>
      </c>
      <c r="P391" s="365">
        <v>1</v>
      </c>
      <c r="Q391" s="366">
        <v>0.91</v>
      </c>
      <c r="R391" s="367">
        <v>0</v>
      </c>
      <c r="S391" s="366">
        <v>0.91</v>
      </c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8" x14ac:dyDescent="0.3">
      <c r="A392" s="1"/>
      <c r="B392" s="364">
        <v>4</v>
      </c>
      <c r="C392" s="68">
        <v>388</v>
      </c>
      <c r="D392" s="69">
        <v>80672161</v>
      </c>
      <c r="E392" s="69" t="s">
        <v>496</v>
      </c>
      <c r="F392" s="24" t="s">
        <v>652</v>
      </c>
      <c r="G392" s="365">
        <v>0.98</v>
      </c>
      <c r="H392" s="365">
        <v>1</v>
      </c>
      <c r="I392" s="365">
        <v>1</v>
      </c>
      <c r="J392" s="365">
        <v>1</v>
      </c>
      <c r="K392" s="365">
        <v>1</v>
      </c>
      <c r="L392" s="365">
        <v>0.97219999999999995</v>
      </c>
      <c r="M392" s="365">
        <v>0.8</v>
      </c>
      <c r="N392" s="365">
        <v>0.5</v>
      </c>
      <c r="O392" s="365">
        <v>1</v>
      </c>
      <c r="P392" s="365">
        <v>1</v>
      </c>
      <c r="Q392" s="366">
        <v>0.88519999999999999</v>
      </c>
      <c r="R392" s="367">
        <v>0</v>
      </c>
      <c r="S392" s="366">
        <v>0.88519999999999999</v>
      </c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8" x14ac:dyDescent="0.3">
      <c r="A393" s="1"/>
      <c r="B393" s="364">
        <v>5</v>
      </c>
      <c r="C393" s="68">
        <v>389</v>
      </c>
      <c r="D393" s="69">
        <v>80671160</v>
      </c>
      <c r="E393" s="69" t="s">
        <v>497</v>
      </c>
      <c r="F393" s="24" t="s">
        <v>652</v>
      </c>
      <c r="G393" s="365">
        <v>0.98</v>
      </c>
      <c r="H393" s="365">
        <v>0.99</v>
      </c>
      <c r="I393" s="365">
        <v>1</v>
      </c>
      <c r="J393" s="365">
        <v>1</v>
      </c>
      <c r="K393" s="365">
        <v>1</v>
      </c>
      <c r="L393" s="365">
        <v>1</v>
      </c>
      <c r="M393" s="365">
        <v>0.8</v>
      </c>
      <c r="N393" s="365">
        <v>1</v>
      </c>
      <c r="O393" s="365">
        <v>0</v>
      </c>
      <c r="P393" s="365">
        <v>1</v>
      </c>
      <c r="Q393" s="366">
        <v>0.90749999999999997</v>
      </c>
      <c r="R393" s="367">
        <v>0</v>
      </c>
      <c r="S393" s="366">
        <v>0.90749999999999997</v>
      </c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8" x14ac:dyDescent="0.3">
      <c r="A394" s="1"/>
      <c r="B394" s="364">
        <v>6</v>
      </c>
      <c r="C394" s="68">
        <v>390</v>
      </c>
      <c r="D394" s="69">
        <v>80667639</v>
      </c>
      <c r="E394" s="69" t="s">
        <v>179</v>
      </c>
      <c r="F394" s="24" t="s">
        <v>694</v>
      </c>
      <c r="G394" s="365">
        <v>1</v>
      </c>
      <c r="H394" s="365">
        <v>1</v>
      </c>
      <c r="I394" s="365">
        <v>1</v>
      </c>
      <c r="J394" s="365">
        <v>0.94940000000000002</v>
      </c>
      <c r="K394" s="365">
        <v>1</v>
      </c>
      <c r="L394" s="365">
        <v>0.99590000000000001</v>
      </c>
      <c r="M394" s="365">
        <v>1</v>
      </c>
      <c r="N394" s="365">
        <v>0.5</v>
      </c>
      <c r="O394" s="365">
        <v>0</v>
      </c>
      <c r="P394" s="365">
        <v>1</v>
      </c>
      <c r="Q394" s="366">
        <v>0.9345</v>
      </c>
      <c r="R394" s="367">
        <v>0</v>
      </c>
      <c r="S394" s="366">
        <v>0.9345</v>
      </c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8" x14ac:dyDescent="0.3">
      <c r="A395" s="1"/>
      <c r="B395" s="364">
        <v>7</v>
      </c>
      <c r="C395" s="68">
        <v>391</v>
      </c>
      <c r="D395" s="69">
        <v>80672649</v>
      </c>
      <c r="E395" s="69" t="s">
        <v>180</v>
      </c>
      <c r="F395" s="24" t="s">
        <v>694</v>
      </c>
      <c r="G395" s="365">
        <v>1</v>
      </c>
      <c r="H395" s="365">
        <v>1</v>
      </c>
      <c r="I395" s="365">
        <v>1</v>
      </c>
      <c r="J395" s="365">
        <v>1</v>
      </c>
      <c r="K395" s="365">
        <v>1</v>
      </c>
      <c r="L395" s="365">
        <v>1</v>
      </c>
      <c r="M395" s="365">
        <v>1</v>
      </c>
      <c r="N395" s="365">
        <v>0.5</v>
      </c>
      <c r="O395" s="365">
        <v>0</v>
      </c>
      <c r="P395" s="365">
        <v>1</v>
      </c>
      <c r="Q395" s="366">
        <v>0.94</v>
      </c>
      <c r="R395" s="367">
        <v>0</v>
      </c>
      <c r="S395" s="366">
        <v>0.94</v>
      </c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8" x14ac:dyDescent="0.3">
      <c r="A396" s="1"/>
      <c r="B396" s="364">
        <v>1</v>
      </c>
      <c r="C396" s="68">
        <v>392</v>
      </c>
      <c r="D396" s="69">
        <v>80672152</v>
      </c>
      <c r="E396" s="69" t="s">
        <v>181</v>
      </c>
      <c r="F396" s="24" t="s">
        <v>694</v>
      </c>
      <c r="G396" s="365">
        <v>1</v>
      </c>
      <c r="H396" s="365">
        <v>1</v>
      </c>
      <c r="I396" s="365">
        <v>1</v>
      </c>
      <c r="J396" s="365">
        <v>0.9506</v>
      </c>
      <c r="K396" s="365">
        <v>1</v>
      </c>
      <c r="L396" s="365">
        <v>0.99790000000000001</v>
      </c>
      <c r="M396" s="365">
        <v>0.8</v>
      </c>
      <c r="N396" s="365">
        <v>1</v>
      </c>
      <c r="O396" s="365">
        <v>0</v>
      </c>
      <c r="P396" s="365">
        <v>1</v>
      </c>
      <c r="Q396" s="366">
        <v>0.90490000000000004</v>
      </c>
      <c r="R396" s="367">
        <v>0</v>
      </c>
      <c r="S396" s="366">
        <v>0.90490000000000004</v>
      </c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8" x14ac:dyDescent="0.3">
      <c r="A397" s="1"/>
      <c r="B397" s="364">
        <v>2</v>
      </c>
      <c r="C397" s="68">
        <v>393</v>
      </c>
      <c r="D397" s="69">
        <v>80672176</v>
      </c>
      <c r="E397" s="69" t="s">
        <v>182</v>
      </c>
      <c r="F397" s="24" t="s">
        <v>694</v>
      </c>
      <c r="G397" s="365">
        <v>0.98</v>
      </c>
      <c r="H397" s="365">
        <v>1</v>
      </c>
      <c r="I397" s="365">
        <v>1</v>
      </c>
      <c r="J397" s="365">
        <v>1</v>
      </c>
      <c r="K397" s="365">
        <v>1</v>
      </c>
      <c r="L397" s="365">
        <v>0.99829999999999997</v>
      </c>
      <c r="M397" s="365">
        <v>1</v>
      </c>
      <c r="N397" s="365">
        <v>1</v>
      </c>
      <c r="O397" s="365">
        <v>0</v>
      </c>
      <c r="P397" s="365">
        <v>0.5</v>
      </c>
      <c r="Q397" s="366">
        <v>0.95279999999999998</v>
      </c>
      <c r="R397" s="367">
        <v>0</v>
      </c>
      <c r="S397" s="366">
        <v>0.95279999999999998</v>
      </c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8" x14ac:dyDescent="0.3">
      <c r="A398" s="1"/>
      <c r="B398" s="364">
        <v>3</v>
      </c>
      <c r="C398" s="68">
        <v>394</v>
      </c>
      <c r="D398" s="69">
        <v>80669277</v>
      </c>
      <c r="E398" s="69" t="s">
        <v>183</v>
      </c>
      <c r="F398" s="24" t="s">
        <v>694</v>
      </c>
      <c r="G398" s="365">
        <v>1</v>
      </c>
      <c r="H398" s="365">
        <v>0.98</v>
      </c>
      <c r="I398" s="365">
        <v>1</v>
      </c>
      <c r="J398" s="365">
        <v>0.96419999999999995</v>
      </c>
      <c r="K398" s="365">
        <v>1</v>
      </c>
      <c r="L398" s="365">
        <v>1</v>
      </c>
      <c r="M398" s="365">
        <v>1</v>
      </c>
      <c r="N398" s="365">
        <v>0.5</v>
      </c>
      <c r="O398" s="365">
        <v>0</v>
      </c>
      <c r="P398" s="365">
        <v>1</v>
      </c>
      <c r="Q398" s="366">
        <v>0.93540000000000001</v>
      </c>
      <c r="R398" s="367">
        <v>0</v>
      </c>
      <c r="S398" s="366">
        <v>0.93540000000000001</v>
      </c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8" x14ac:dyDescent="0.3">
      <c r="A399" s="1"/>
      <c r="B399" s="364">
        <v>4</v>
      </c>
      <c r="C399" s="68">
        <v>395</v>
      </c>
      <c r="D399" s="69">
        <v>80668921</v>
      </c>
      <c r="E399" s="69" t="s">
        <v>205</v>
      </c>
      <c r="F399" s="24" t="s">
        <v>633</v>
      </c>
      <c r="G399" s="365">
        <v>1</v>
      </c>
      <c r="H399" s="365">
        <v>1</v>
      </c>
      <c r="I399" s="365">
        <v>1</v>
      </c>
      <c r="J399" s="365">
        <v>1</v>
      </c>
      <c r="K399" s="365">
        <v>1</v>
      </c>
      <c r="L399" s="365">
        <v>1</v>
      </c>
      <c r="M399" s="365">
        <v>0.8</v>
      </c>
      <c r="N399" s="365">
        <v>0.5</v>
      </c>
      <c r="O399" s="365">
        <v>0</v>
      </c>
      <c r="P399" s="365">
        <v>1</v>
      </c>
      <c r="Q399" s="366">
        <v>0.87</v>
      </c>
      <c r="R399" s="367">
        <v>0</v>
      </c>
      <c r="S399" s="366">
        <v>0.87</v>
      </c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8" x14ac:dyDescent="0.3">
      <c r="A400" s="1"/>
      <c r="B400" s="364">
        <v>6</v>
      </c>
      <c r="C400" s="68">
        <v>396</v>
      </c>
      <c r="D400" s="69">
        <v>80672159</v>
      </c>
      <c r="E400" s="69" t="s">
        <v>206</v>
      </c>
      <c r="F400" s="24" t="s">
        <v>633</v>
      </c>
      <c r="G400" s="365">
        <v>1</v>
      </c>
      <c r="H400" s="365">
        <v>1</v>
      </c>
      <c r="I400" s="365">
        <v>1</v>
      </c>
      <c r="J400" s="365">
        <v>1</v>
      </c>
      <c r="K400" s="365">
        <v>1</v>
      </c>
      <c r="L400" s="365">
        <v>1</v>
      </c>
      <c r="M400" s="365">
        <v>1</v>
      </c>
      <c r="N400" s="365">
        <v>1</v>
      </c>
      <c r="O400" s="365">
        <v>1</v>
      </c>
      <c r="P400" s="365">
        <v>1</v>
      </c>
      <c r="Q400" s="366">
        <v>1</v>
      </c>
      <c r="R400" s="367">
        <v>0</v>
      </c>
      <c r="S400" s="366">
        <v>1</v>
      </c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8" x14ac:dyDescent="0.3">
      <c r="A401" s="1"/>
      <c r="B401" s="364">
        <v>7</v>
      </c>
      <c r="C401" s="68">
        <v>397</v>
      </c>
      <c r="D401" s="69">
        <v>80673113</v>
      </c>
      <c r="E401" s="69" t="s">
        <v>207</v>
      </c>
      <c r="F401" s="24" t="s">
        <v>633</v>
      </c>
      <c r="G401" s="365">
        <v>1</v>
      </c>
      <c r="H401" s="365">
        <v>1</v>
      </c>
      <c r="I401" s="365">
        <v>1</v>
      </c>
      <c r="J401" s="365">
        <v>1</v>
      </c>
      <c r="K401" s="365">
        <v>1</v>
      </c>
      <c r="L401" s="365">
        <v>1</v>
      </c>
      <c r="M401" s="365">
        <v>1</v>
      </c>
      <c r="N401" s="365">
        <v>1</v>
      </c>
      <c r="O401" s="365">
        <v>0</v>
      </c>
      <c r="P401" s="365">
        <v>1</v>
      </c>
      <c r="Q401" s="366">
        <v>0.98</v>
      </c>
      <c r="R401" s="367">
        <v>0</v>
      </c>
      <c r="S401" s="366">
        <v>0.98</v>
      </c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8" x14ac:dyDescent="0.3">
      <c r="A402" s="1"/>
      <c r="B402" s="364">
        <v>1</v>
      </c>
      <c r="C402" s="68">
        <v>398</v>
      </c>
      <c r="D402" s="69">
        <v>80660861</v>
      </c>
      <c r="E402" s="69" t="s">
        <v>208</v>
      </c>
      <c r="F402" s="24" t="s">
        <v>633</v>
      </c>
      <c r="G402" s="365">
        <v>1</v>
      </c>
      <c r="H402" s="365">
        <v>1</v>
      </c>
      <c r="I402" s="365">
        <v>1</v>
      </c>
      <c r="J402" s="365">
        <v>1</v>
      </c>
      <c r="K402" s="365">
        <v>1</v>
      </c>
      <c r="L402" s="365">
        <v>1</v>
      </c>
      <c r="M402" s="365">
        <v>0.8</v>
      </c>
      <c r="N402" s="365">
        <v>1</v>
      </c>
      <c r="O402" s="365">
        <v>0</v>
      </c>
      <c r="P402" s="365">
        <v>1</v>
      </c>
      <c r="Q402" s="366">
        <v>0.91</v>
      </c>
      <c r="R402" s="367">
        <v>0</v>
      </c>
      <c r="S402" s="366">
        <v>0.91</v>
      </c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8" x14ac:dyDescent="0.3">
      <c r="A403" s="1"/>
      <c r="B403" s="364">
        <v>2</v>
      </c>
      <c r="C403" s="68">
        <v>399</v>
      </c>
      <c r="D403" s="69">
        <v>80665544</v>
      </c>
      <c r="E403" s="69" t="s">
        <v>209</v>
      </c>
      <c r="F403" s="24" t="s">
        <v>633</v>
      </c>
      <c r="G403" s="365">
        <v>0.98</v>
      </c>
      <c r="H403" s="365">
        <v>1</v>
      </c>
      <c r="I403" s="365">
        <v>1</v>
      </c>
      <c r="J403" s="365">
        <v>1</v>
      </c>
      <c r="K403" s="365">
        <v>1</v>
      </c>
      <c r="L403" s="365">
        <v>0.99629999999999996</v>
      </c>
      <c r="M403" s="365">
        <v>0.8</v>
      </c>
      <c r="N403" s="365">
        <v>1</v>
      </c>
      <c r="O403" s="365">
        <v>1</v>
      </c>
      <c r="P403" s="365">
        <v>1</v>
      </c>
      <c r="Q403" s="366">
        <v>0.92759999999999998</v>
      </c>
      <c r="R403" s="367">
        <v>0</v>
      </c>
      <c r="S403" s="366">
        <v>0.92759999999999998</v>
      </c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8" x14ac:dyDescent="0.3">
      <c r="A404" s="1"/>
      <c r="B404" s="364">
        <v>3</v>
      </c>
      <c r="C404" s="68">
        <v>400</v>
      </c>
      <c r="D404" s="69">
        <v>80664680</v>
      </c>
      <c r="E404" s="69" t="s">
        <v>285</v>
      </c>
      <c r="F404" s="24" t="s">
        <v>648</v>
      </c>
      <c r="G404" s="365">
        <v>1</v>
      </c>
      <c r="H404" s="365">
        <v>1</v>
      </c>
      <c r="I404" s="365">
        <v>1</v>
      </c>
      <c r="J404" s="365">
        <v>1</v>
      </c>
      <c r="K404" s="365">
        <v>1</v>
      </c>
      <c r="L404" s="365">
        <v>1</v>
      </c>
      <c r="M404" s="365">
        <v>1</v>
      </c>
      <c r="N404" s="365">
        <v>1</v>
      </c>
      <c r="O404" s="365">
        <v>0</v>
      </c>
      <c r="P404" s="365">
        <v>1</v>
      </c>
      <c r="Q404" s="366">
        <v>0.98</v>
      </c>
      <c r="R404" s="367">
        <v>0</v>
      </c>
      <c r="S404" s="366">
        <v>0.98</v>
      </c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8" x14ac:dyDescent="0.3">
      <c r="A405" s="1"/>
      <c r="B405" s="364">
        <v>4</v>
      </c>
      <c r="C405" s="68">
        <v>401</v>
      </c>
      <c r="D405" s="69">
        <v>80673107</v>
      </c>
      <c r="E405" s="69" t="s">
        <v>286</v>
      </c>
      <c r="F405" s="24" t="s">
        <v>648</v>
      </c>
      <c r="G405" s="365">
        <v>1</v>
      </c>
      <c r="H405" s="365">
        <v>1</v>
      </c>
      <c r="I405" s="365">
        <v>1</v>
      </c>
      <c r="J405" s="365">
        <v>0.96519999999999995</v>
      </c>
      <c r="K405" s="365">
        <v>1</v>
      </c>
      <c r="L405" s="365">
        <v>1</v>
      </c>
      <c r="M405" s="365">
        <v>1</v>
      </c>
      <c r="N405" s="365">
        <v>1</v>
      </c>
      <c r="O405" s="365">
        <v>0</v>
      </c>
      <c r="P405" s="365">
        <v>1</v>
      </c>
      <c r="Q405" s="366">
        <v>0.97650000000000003</v>
      </c>
      <c r="R405" s="367">
        <v>0</v>
      </c>
      <c r="S405" s="366">
        <v>0.97650000000000003</v>
      </c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8" x14ac:dyDescent="0.3">
      <c r="A406" s="1"/>
      <c r="B406" s="364">
        <v>5</v>
      </c>
      <c r="C406" s="68">
        <v>402</v>
      </c>
      <c r="D406" s="69">
        <v>80658341</v>
      </c>
      <c r="E406" s="69" t="s">
        <v>287</v>
      </c>
      <c r="F406" s="24" t="s">
        <v>648</v>
      </c>
      <c r="G406" s="365">
        <v>1</v>
      </c>
      <c r="H406" s="365">
        <v>1</v>
      </c>
      <c r="I406" s="365">
        <v>1</v>
      </c>
      <c r="J406" s="365">
        <v>1</v>
      </c>
      <c r="K406" s="365">
        <v>1</v>
      </c>
      <c r="L406" s="365">
        <v>1</v>
      </c>
      <c r="M406" s="365">
        <v>1</v>
      </c>
      <c r="N406" s="365">
        <v>0.5</v>
      </c>
      <c r="O406" s="365">
        <v>0</v>
      </c>
      <c r="P406" s="365">
        <v>0.5</v>
      </c>
      <c r="Q406" s="366">
        <v>0.91500000000000004</v>
      </c>
      <c r="R406" s="367">
        <v>0</v>
      </c>
      <c r="S406" s="366">
        <v>0.91500000000000004</v>
      </c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8" x14ac:dyDescent="0.3">
      <c r="A407" s="1"/>
      <c r="B407" s="364">
        <v>6</v>
      </c>
      <c r="C407" s="68">
        <v>403</v>
      </c>
      <c r="D407" s="69">
        <v>80664641</v>
      </c>
      <c r="E407" s="69" t="s">
        <v>288</v>
      </c>
      <c r="F407" s="24" t="s">
        <v>648</v>
      </c>
      <c r="G407" s="365">
        <v>0.98</v>
      </c>
      <c r="H407" s="365">
        <v>1</v>
      </c>
      <c r="I407" s="365">
        <v>1</v>
      </c>
      <c r="J407" s="365">
        <v>0.99680000000000002</v>
      </c>
      <c r="K407" s="365">
        <v>1</v>
      </c>
      <c r="L407" s="365">
        <v>1</v>
      </c>
      <c r="M407" s="365">
        <v>1</v>
      </c>
      <c r="N407" s="365">
        <v>0.5</v>
      </c>
      <c r="O407" s="365">
        <v>0</v>
      </c>
      <c r="P407" s="365">
        <v>1</v>
      </c>
      <c r="Q407" s="366">
        <v>0.93769999999999998</v>
      </c>
      <c r="R407" s="367">
        <v>0</v>
      </c>
      <c r="S407" s="366">
        <v>0.93769999999999998</v>
      </c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8" x14ac:dyDescent="0.3">
      <c r="A408" s="1"/>
      <c r="B408" s="364">
        <v>7</v>
      </c>
      <c r="C408" s="68">
        <v>404</v>
      </c>
      <c r="D408" s="69">
        <v>80671154</v>
      </c>
      <c r="E408" s="69" t="s">
        <v>289</v>
      </c>
      <c r="F408" s="24" t="s">
        <v>648</v>
      </c>
      <c r="G408" s="365">
        <v>1</v>
      </c>
      <c r="H408" s="365">
        <v>1</v>
      </c>
      <c r="I408" s="365">
        <v>1</v>
      </c>
      <c r="J408" s="365">
        <v>1</v>
      </c>
      <c r="K408" s="365">
        <v>1</v>
      </c>
      <c r="L408" s="365">
        <v>0.99790000000000001</v>
      </c>
      <c r="M408" s="365">
        <v>1</v>
      </c>
      <c r="N408" s="365">
        <v>0.5</v>
      </c>
      <c r="O408" s="365">
        <v>0</v>
      </c>
      <c r="P408" s="365">
        <v>1</v>
      </c>
      <c r="Q408" s="366">
        <v>0.93979999999999997</v>
      </c>
      <c r="R408" s="367">
        <v>0</v>
      </c>
      <c r="S408" s="366">
        <v>0.93979999999999997</v>
      </c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8" x14ac:dyDescent="0.3">
      <c r="A409" s="1"/>
      <c r="B409" s="364">
        <v>8</v>
      </c>
      <c r="C409" s="68">
        <v>405</v>
      </c>
      <c r="D409" s="69">
        <v>80672810</v>
      </c>
      <c r="E409" s="69" t="s">
        <v>290</v>
      </c>
      <c r="F409" s="24" t="s">
        <v>648</v>
      </c>
      <c r="G409" s="365">
        <v>1</v>
      </c>
      <c r="H409" s="365">
        <v>1</v>
      </c>
      <c r="I409" s="365">
        <v>1</v>
      </c>
      <c r="J409" s="365">
        <v>1</v>
      </c>
      <c r="K409" s="365">
        <v>1</v>
      </c>
      <c r="L409" s="365">
        <v>1</v>
      </c>
      <c r="M409" s="365">
        <v>0.8</v>
      </c>
      <c r="N409" s="365">
        <v>1</v>
      </c>
      <c r="O409" s="365">
        <v>0</v>
      </c>
      <c r="P409" s="365">
        <v>1</v>
      </c>
      <c r="Q409" s="366">
        <v>0.91</v>
      </c>
      <c r="R409" s="367">
        <v>0</v>
      </c>
      <c r="S409" s="366">
        <v>0.91</v>
      </c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8" x14ac:dyDescent="0.3">
      <c r="A410" s="1"/>
      <c r="B410" s="364">
        <v>1</v>
      </c>
      <c r="C410" s="68">
        <v>406</v>
      </c>
      <c r="D410" s="69">
        <v>80673118</v>
      </c>
      <c r="E410" s="69" t="s">
        <v>237</v>
      </c>
      <c r="F410" s="24" t="s">
        <v>669</v>
      </c>
      <c r="G410" s="365">
        <v>1</v>
      </c>
      <c r="H410" s="365">
        <v>1</v>
      </c>
      <c r="I410" s="365">
        <v>1</v>
      </c>
      <c r="J410" s="365">
        <v>1</v>
      </c>
      <c r="K410" s="365">
        <v>1</v>
      </c>
      <c r="L410" s="365">
        <v>0.98</v>
      </c>
      <c r="M410" s="365">
        <v>1</v>
      </c>
      <c r="N410" s="365">
        <v>1</v>
      </c>
      <c r="O410" s="365">
        <v>0</v>
      </c>
      <c r="P410" s="365">
        <v>1</v>
      </c>
      <c r="Q410" s="366">
        <v>0.97799999999999998</v>
      </c>
      <c r="R410" s="367">
        <v>0</v>
      </c>
      <c r="S410" s="366">
        <v>0.97799999999999998</v>
      </c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8" x14ac:dyDescent="0.3">
      <c r="A411" s="1"/>
      <c r="B411" s="364">
        <v>2</v>
      </c>
      <c r="C411" s="68">
        <v>407</v>
      </c>
      <c r="D411" s="69">
        <v>80672153</v>
      </c>
      <c r="E411" s="69" t="s">
        <v>238</v>
      </c>
      <c r="F411" s="24" t="s">
        <v>669</v>
      </c>
      <c r="G411" s="365">
        <v>1</v>
      </c>
      <c r="H411" s="365">
        <v>1</v>
      </c>
      <c r="I411" s="365">
        <v>1</v>
      </c>
      <c r="J411" s="365">
        <v>1</v>
      </c>
      <c r="K411" s="365">
        <v>1</v>
      </c>
      <c r="L411" s="365">
        <v>1</v>
      </c>
      <c r="M411" s="365">
        <v>0.8</v>
      </c>
      <c r="N411" s="365">
        <v>1</v>
      </c>
      <c r="O411" s="365">
        <v>1</v>
      </c>
      <c r="P411" s="365">
        <v>1</v>
      </c>
      <c r="Q411" s="366">
        <v>0.93</v>
      </c>
      <c r="R411" s="367">
        <v>0</v>
      </c>
      <c r="S411" s="366">
        <v>0.93</v>
      </c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8" x14ac:dyDescent="0.3">
      <c r="A412" s="1"/>
      <c r="B412" s="364">
        <v>3</v>
      </c>
      <c r="C412" s="68">
        <v>408</v>
      </c>
      <c r="D412" s="69">
        <v>80669278</v>
      </c>
      <c r="E412" s="69" t="s">
        <v>239</v>
      </c>
      <c r="F412" s="24" t="s">
        <v>669</v>
      </c>
      <c r="G412" s="365">
        <v>1</v>
      </c>
      <c r="H412" s="365">
        <v>1</v>
      </c>
      <c r="I412" s="365">
        <v>1</v>
      </c>
      <c r="J412" s="365">
        <v>0.86150000000000004</v>
      </c>
      <c r="K412" s="365">
        <v>0</v>
      </c>
      <c r="L412" s="365">
        <v>0.99590000000000001</v>
      </c>
      <c r="M412" s="365">
        <v>1</v>
      </c>
      <c r="N412" s="365">
        <v>1</v>
      </c>
      <c r="O412" s="365">
        <v>1</v>
      </c>
      <c r="P412" s="365">
        <v>1</v>
      </c>
      <c r="Q412" s="366">
        <v>0.93569999999999998</v>
      </c>
      <c r="R412" s="367">
        <v>0</v>
      </c>
      <c r="S412" s="366">
        <v>0.93569999999999998</v>
      </c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8" x14ac:dyDescent="0.3">
      <c r="A413" s="1"/>
      <c r="B413" s="364">
        <v>4</v>
      </c>
      <c r="C413" s="68">
        <v>409</v>
      </c>
      <c r="D413" s="69">
        <v>80669285</v>
      </c>
      <c r="E413" s="69" t="s">
        <v>240</v>
      </c>
      <c r="F413" s="24" t="s">
        <v>669</v>
      </c>
      <c r="G413" s="365">
        <v>1</v>
      </c>
      <c r="H413" s="365">
        <v>1</v>
      </c>
      <c r="I413" s="365">
        <v>1</v>
      </c>
      <c r="J413" s="365">
        <v>1</v>
      </c>
      <c r="K413" s="365">
        <v>1</v>
      </c>
      <c r="L413" s="365">
        <v>0.99590000000000001</v>
      </c>
      <c r="M413" s="365">
        <v>1</v>
      </c>
      <c r="N413" s="365">
        <v>1</v>
      </c>
      <c r="O413" s="365">
        <v>0</v>
      </c>
      <c r="P413" s="365">
        <v>1</v>
      </c>
      <c r="Q413" s="366">
        <v>0.97960000000000003</v>
      </c>
      <c r="R413" s="367">
        <v>0</v>
      </c>
      <c r="S413" s="366">
        <v>0.97960000000000003</v>
      </c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8" x14ac:dyDescent="0.3">
      <c r="A414" s="1"/>
      <c r="B414" s="364">
        <v>5</v>
      </c>
      <c r="C414" s="68">
        <v>410</v>
      </c>
      <c r="D414" s="69">
        <v>80658412</v>
      </c>
      <c r="E414" s="69" t="s">
        <v>241</v>
      </c>
      <c r="F414" s="24" t="s">
        <v>669</v>
      </c>
      <c r="G414" s="365">
        <v>1</v>
      </c>
      <c r="H414" s="365">
        <v>1</v>
      </c>
      <c r="I414" s="365">
        <v>1</v>
      </c>
      <c r="J414" s="365">
        <v>0.997</v>
      </c>
      <c r="K414" s="365">
        <v>1</v>
      </c>
      <c r="L414" s="365">
        <v>1</v>
      </c>
      <c r="M414" s="365">
        <v>0.8</v>
      </c>
      <c r="N414" s="365">
        <v>1</v>
      </c>
      <c r="O414" s="365">
        <v>0</v>
      </c>
      <c r="P414" s="365">
        <v>1</v>
      </c>
      <c r="Q414" s="366">
        <v>0.90969999999999995</v>
      </c>
      <c r="R414" s="367">
        <v>0</v>
      </c>
      <c r="S414" s="366">
        <v>0.90969999999999995</v>
      </c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8" x14ac:dyDescent="0.3">
      <c r="A415" s="1"/>
      <c r="B415" s="364">
        <v>6</v>
      </c>
      <c r="C415" s="68">
        <v>411</v>
      </c>
      <c r="D415" s="69">
        <v>80672637</v>
      </c>
      <c r="E415" s="69" t="s">
        <v>242</v>
      </c>
      <c r="F415" s="24" t="s">
        <v>669</v>
      </c>
      <c r="G415" s="365">
        <v>1</v>
      </c>
      <c r="H415" s="365">
        <v>1</v>
      </c>
      <c r="I415" s="365">
        <v>1</v>
      </c>
      <c r="J415" s="365">
        <v>1</v>
      </c>
      <c r="K415" s="365">
        <v>1</v>
      </c>
      <c r="L415" s="365">
        <v>0.99850000000000005</v>
      </c>
      <c r="M415" s="365">
        <v>1</v>
      </c>
      <c r="N415" s="365">
        <v>1</v>
      </c>
      <c r="O415" s="365">
        <v>0</v>
      </c>
      <c r="P415" s="365">
        <v>1</v>
      </c>
      <c r="Q415" s="366">
        <v>0.97989999999999999</v>
      </c>
      <c r="R415" s="367">
        <v>0</v>
      </c>
      <c r="S415" s="366">
        <v>0.97989999999999999</v>
      </c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8" x14ac:dyDescent="0.3">
      <c r="A416" s="1"/>
      <c r="B416" s="364">
        <v>7</v>
      </c>
      <c r="C416" s="68">
        <v>412</v>
      </c>
      <c r="D416" s="69">
        <v>80670775</v>
      </c>
      <c r="E416" s="69" t="s">
        <v>264</v>
      </c>
      <c r="F416" s="24" t="s">
        <v>681</v>
      </c>
      <c r="G416" s="365">
        <v>0.98</v>
      </c>
      <c r="H416" s="365">
        <v>1</v>
      </c>
      <c r="I416" s="365">
        <v>1</v>
      </c>
      <c r="J416" s="365">
        <v>1</v>
      </c>
      <c r="K416" s="365">
        <v>1</v>
      </c>
      <c r="L416" s="365">
        <v>1</v>
      </c>
      <c r="M416" s="365">
        <v>0.8</v>
      </c>
      <c r="N416" s="365">
        <v>1</v>
      </c>
      <c r="O416" s="365">
        <v>0</v>
      </c>
      <c r="P416" s="365">
        <v>0.5</v>
      </c>
      <c r="Q416" s="366">
        <v>0.88300000000000001</v>
      </c>
      <c r="R416" s="367">
        <v>0</v>
      </c>
      <c r="S416" s="366">
        <v>0.88300000000000001</v>
      </c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8" x14ac:dyDescent="0.3">
      <c r="A417" s="1"/>
      <c r="B417" s="364">
        <v>1</v>
      </c>
      <c r="C417" s="68">
        <v>413</v>
      </c>
      <c r="D417" s="69">
        <v>80669279</v>
      </c>
      <c r="E417" s="69" t="s">
        <v>265</v>
      </c>
      <c r="F417" s="24" t="s">
        <v>681</v>
      </c>
      <c r="G417" s="365">
        <v>1</v>
      </c>
      <c r="H417" s="365">
        <v>1</v>
      </c>
      <c r="I417" s="365">
        <v>1</v>
      </c>
      <c r="J417" s="365">
        <v>0.98309999999999997</v>
      </c>
      <c r="K417" s="365">
        <v>1</v>
      </c>
      <c r="L417" s="365">
        <v>0.99790000000000001</v>
      </c>
      <c r="M417" s="365">
        <v>1</v>
      </c>
      <c r="N417" s="365">
        <v>0.5</v>
      </c>
      <c r="O417" s="365">
        <v>0</v>
      </c>
      <c r="P417" s="365">
        <v>1</v>
      </c>
      <c r="Q417" s="366">
        <v>0.93810000000000004</v>
      </c>
      <c r="R417" s="367">
        <v>0</v>
      </c>
      <c r="S417" s="366">
        <v>0.93810000000000004</v>
      </c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8" x14ac:dyDescent="0.3">
      <c r="A418" s="1"/>
      <c r="B418" s="364">
        <v>2</v>
      </c>
      <c r="C418" s="68">
        <v>414</v>
      </c>
      <c r="D418" s="69">
        <v>80664549</v>
      </c>
      <c r="E418" s="69" t="s">
        <v>266</v>
      </c>
      <c r="F418" s="24" t="s">
        <v>681</v>
      </c>
      <c r="G418" s="365">
        <v>0.98</v>
      </c>
      <c r="H418" s="365">
        <v>1</v>
      </c>
      <c r="I418" s="365">
        <v>0.99480000000000002</v>
      </c>
      <c r="J418" s="365">
        <v>0.97740000000000005</v>
      </c>
      <c r="K418" s="365">
        <v>1</v>
      </c>
      <c r="L418" s="365">
        <v>0.99129999999999996</v>
      </c>
      <c r="M418" s="365">
        <v>1</v>
      </c>
      <c r="N418" s="365">
        <v>1</v>
      </c>
      <c r="O418" s="365">
        <v>0</v>
      </c>
      <c r="P418" s="365">
        <v>1</v>
      </c>
      <c r="Q418" s="366">
        <v>0.97430000000000005</v>
      </c>
      <c r="R418" s="367">
        <v>0</v>
      </c>
      <c r="S418" s="366">
        <v>0.97430000000000005</v>
      </c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8" x14ac:dyDescent="0.3">
      <c r="A419" s="1"/>
      <c r="B419" s="364">
        <v>3</v>
      </c>
      <c r="C419" s="68">
        <v>415</v>
      </c>
      <c r="D419" s="69">
        <v>80664662</v>
      </c>
      <c r="E419" s="69" t="s">
        <v>267</v>
      </c>
      <c r="F419" s="24" t="s">
        <v>681</v>
      </c>
      <c r="G419" s="365">
        <v>1</v>
      </c>
      <c r="H419" s="365">
        <v>1</v>
      </c>
      <c r="I419" s="365">
        <v>1</v>
      </c>
      <c r="J419" s="365">
        <v>0.95950000000000002</v>
      </c>
      <c r="K419" s="365">
        <v>1</v>
      </c>
      <c r="L419" s="365">
        <v>0.99229999999999996</v>
      </c>
      <c r="M419" s="365">
        <v>1</v>
      </c>
      <c r="N419" s="365">
        <v>1</v>
      </c>
      <c r="O419" s="365">
        <v>0</v>
      </c>
      <c r="P419" s="365">
        <v>1</v>
      </c>
      <c r="Q419" s="366">
        <v>0.97519999999999996</v>
      </c>
      <c r="R419" s="367">
        <v>0</v>
      </c>
      <c r="S419" s="366">
        <v>0.97519999999999996</v>
      </c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8" x14ac:dyDescent="0.3">
      <c r="A420" s="1"/>
      <c r="B420" s="364">
        <v>4</v>
      </c>
      <c r="C420" s="68">
        <v>416</v>
      </c>
      <c r="D420" s="69">
        <v>80672642</v>
      </c>
      <c r="E420" s="69" t="s">
        <v>268</v>
      </c>
      <c r="F420" s="24" t="s">
        <v>681</v>
      </c>
      <c r="G420" s="365">
        <v>0.96</v>
      </c>
      <c r="H420" s="365">
        <v>1</v>
      </c>
      <c r="I420" s="365">
        <v>1</v>
      </c>
      <c r="J420" s="365">
        <v>0.96530000000000005</v>
      </c>
      <c r="K420" s="365">
        <v>1</v>
      </c>
      <c r="L420" s="365">
        <v>0.97019999999999995</v>
      </c>
      <c r="M420" s="365">
        <v>1</v>
      </c>
      <c r="N420" s="365">
        <v>1</v>
      </c>
      <c r="O420" s="365">
        <v>0</v>
      </c>
      <c r="P420" s="365">
        <v>1</v>
      </c>
      <c r="Q420" s="366">
        <v>0.96960000000000002</v>
      </c>
      <c r="R420" s="367">
        <v>0</v>
      </c>
      <c r="S420" s="366">
        <v>0.96960000000000002</v>
      </c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8" x14ac:dyDescent="0.3">
      <c r="A421" s="1"/>
      <c r="B421" s="364">
        <v>5</v>
      </c>
      <c r="C421" s="68">
        <v>417</v>
      </c>
      <c r="D421" s="69">
        <v>80672640</v>
      </c>
      <c r="E421" s="69" t="s">
        <v>269</v>
      </c>
      <c r="F421" s="24" t="s">
        <v>681</v>
      </c>
      <c r="G421" s="365">
        <v>1</v>
      </c>
      <c r="H421" s="365">
        <v>1</v>
      </c>
      <c r="I421" s="365">
        <v>1</v>
      </c>
      <c r="J421" s="365">
        <v>1</v>
      </c>
      <c r="K421" s="365">
        <v>1</v>
      </c>
      <c r="L421" s="365">
        <v>1</v>
      </c>
      <c r="M421" s="365">
        <v>0.8</v>
      </c>
      <c r="N421" s="365">
        <v>1</v>
      </c>
      <c r="O421" s="365">
        <v>0</v>
      </c>
      <c r="P421" s="365">
        <v>1</v>
      </c>
      <c r="Q421" s="366">
        <v>0.91</v>
      </c>
      <c r="R421" s="367">
        <v>0</v>
      </c>
      <c r="S421" s="366">
        <v>0.91</v>
      </c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8" x14ac:dyDescent="0.3">
      <c r="A422" s="1"/>
      <c r="B422" s="364">
        <v>6</v>
      </c>
      <c r="C422" s="68">
        <v>418</v>
      </c>
      <c r="D422" s="69">
        <v>80658338</v>
      </c>
      <c r="E422" s="69" t="s">
        <v>370</v>
      </c>
      <c r="F422" s="24" t="s">
        <v>616</v>
      </c>
      <c r="G422" s="365">
        <v>1</v>
      </c>
      <c r="H422" s="365">
        <v>1</v>
      </c>
      <c r="I422" s="365">
        <v>1</v>
      </c>
      <c r="J422" s="365">
        <v>1</v>
      </c>
      <c r="K422" s="365">
        <v>1</v>
      </c>
      <c r="L422" s="365">
        <v>1</v>
      </c>
      <c r="M422" s="365">
        <v>1</v>
      </c>
      <c r="N422" s="365">
        <v>1</v>
      </c>
      <c r="O422" s="365">
        <v>1</v>
      </c>
      <c r="P422" s="365">
        <v>1</v>
      </c>
      <c r="Q422" s="366">
        <v>1</v>
      </c>
      <c r="R422" s="367">
        <v>0</v>
      </c>
      <c r="S422" s="366">
        <v>1</v>
      </c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8" x14ac:dyDescent="0.3">
      <c r="A423" s="1"/>
      <c r="B423" s="364">
        <v>7</v>
      </c>
      <c r="C423" s="68">
        <v>419</v>
      </c>
      <c r="D423" s="69">
        <v>80671148</v>
      </c>
      <c r="E423" s="69" t="s">
        <v>371</v>
      </c>
      <c r="F423" s="24" t="s">
        <v>616</v>
      </c>
      <c r="G423" s="365">
        <v>1</v>
      </c>
      <c r="H423" s="365">
        <v>1</v>
      </c>
      <c r="I423" s="365">
        <v>1</v>
      </c>
      <c r="J423" s="365">
        <v>1</v>
      </c>
      <c r="K423" s="365">
        <v>1</v>
      </c>
      <c r="L423" s="365">
        <v>1</v>
      </c>
      <c r="M423" s="365">
        <v>1</v>
      </c>
      <c r="N423" s="365">
        <v>1</v>
      </c>
      <c r="O423" s="365">
        <v>0</v>
      </c>
      <c r="P423" s="365">
        <v>0.75</v>
      </c>
      <c r="Q423" s="366">
        <v>0.96750000000000003</v>
      </c>
      <c r="R423" s="367">
        <v>0</v>
      </c>
      <c r="S423" s="366">
        <v>0.96750000000000003</v>
      </c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8" x14ac:dyDescent="0.3">
      <c r="A424" s="1"/>
      <c r="B424" s="364">
        <v>2</v>
      </c>
      <c r="C424" s="68">
        <v>420</v>
      </c>
      <c r="D424" s="69">
        <v>80672171</v>
      </c>
      <c r="E424" s="69" t="s">
        <v>372</v>
      </c>
      <c r="F424" s="24" t="s">
        <v>616</v>
      </c>
      <c r="G424" s="365">
        <v>1</v>
      </c>
      <c r="H424" s="365">
        <v>1</v>
      </c>
      <c r="I424" s="365">
        <v>1</v>
      </c>
      <c r="J424" s="365">
        <v>1</v>
      </c>
      <c r="K424" s="365">
        <v>1</v>
      </c>
      <c r="L424" s="365">
        <v>1</v>
      </c>
      <c r="M424" s="365">
        <v>1</v>
      </c>
      <c r="N424" s="365">
        <v>1</v>
      </c>
      <c r="O424" s="365">
        <v>0</v>
      </c>
      <c r="P424" s="365">
        <v>1</v>
      </c>
      <c r="Q424" s="366">
        <v>0.98</v>
      </c>
      <c r="R424" s="367">
        <v>0</v>
      </c>
      <c r="S424" s="366">
        <v>0.98</v>
      </c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8" x14ac:dyDescent="0.3">
      <c r="A425" s="1"/>
      <c r="B425" s="364">
        <v>3</v>
      </c>
      <c r="C425" s="68">
        <v>421</v>
      </c>
      <c r="D425" s="69">
        <v>80664676</v>
      </c>
      <c r="E425" s="69" t="s">
        <v>373</v>
      </c>
      <c r="F425" s="24" t="s">
        <v>616</v>
      </c>
      <c r="G425" s="365">
        <v>1</v>
      </c>
      <c r="H425" s="365">
        <v>1</v>
      </c>
      <c r="I425" s="365">
        <v>1</v>
      </c>
      <c r="J425" s="365">
        <v>1</v>
      </c>
      <c r="K425" s="365">
        <v>1</v>
      </c>
      <c r="L425" s="365">
        <v>0.99309999999999998</v>
      </c>
      <c r="M425" s="365">
        <v>1</v>
      </c>
      <c r="N425" s="365">
        <v>1</v>
      </c>
      <c r="O425" s="365">
        <v>0</v>
      </c>
      <c r="P425" s="365">
        <v>1</v>
      </c>
      <c r="Q425" s="366">
        <v>0.97929999999999995</v>
      </c>
      <c r="R425" s="367">
        <v>0</v>
      </c>
      <c r="S425" s="366">
        <v>0.97929999999999995</v>
      </c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8" x14ac:dyDescent="0.3">
      <c r="A426" s="1"/>
      <c r="B426" s="364">
        <v>4</v>
      </c>
      <c r="C426" s="68">
        <v>422</v>
      </c>
      <c r="D426" s="69">
        <v>80669289</v>
      </c>
      <c r="E426" s="69" t="s">
        <v>374</v>
      </c>
      <c r="F426" s="24" t="s">
        <v>616</v>
      </c>
      <c r="G426" s="365">
        <v>1</v>
      </c>
      <c r="H426" s="365">
        <v>1</v>
      </c>
      <c r="I426" s="365">
        <v>1</v>
      </c>
      <c r="J426" s="365">
        <v>1</v>
      </c>
      <c r="K426" s="365">
        <v>1</v>
      </c>
      <c r="L426" s="365">
        <v>0.97809999999999997</v>
      </c>
      <c r="M426" s="365">
        <v>0.8</v>
      </c>
      <c r="N426" s="365">
        <v>1</v>
      </c>
      <c r="O426" s="365">
        <v>0</v>
      </c>
      <c r="P426" s="365">
        <v>1</v>
      </c>
      <c r="Q426" s="366">
        <v>0.90780000000000005</v>
      </c>
      <c r="R426" s="367">
        <v>0</v>
      </c>
      <c r="S426" s="366">
        <v>0.90780000000000005</v>
      </c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8" x14ac:dyDescent="0.3">
      <c r="A427" s="1"/>
      <c r="B427" s="364">
        <v>5</v>
      </c>
      <c r="C427" s="68">
        <v>423</v>
      </c>
      <c r="D427" s="69">
        <v>80672634</v>
      </c>
      <c r="E427" s="69" t="s">
        <v>375</v>
      </c>
      <c r="F427" s="24" t="s">
        <v>616</v>
      </c>
      <c r="G427" s="365">
        <v>1</v>
      </c>
      <c r="H427" s="365">
        <v>1</v>
      </c>
      <c r="I427" s="365">
        <v>1</v>
      </c>
      <c r="J427" s="365">
        <v>1</v>
      </c>
      <c r="K427" s="365">
        <v>1</v>
      </c>
      <c r="L427" s="365">
        <v>0.98650000000000004</v>
      </c>
      <c r="M427" s="365">
        <v>1</v>
      </c>
      <c r="N427" s="365">
        <v>1</v>
      </c>
      <c r="O427" s="365">
        <v>0</v>
      </c>
      <c r="P427" s="365">
        <v>1</v>
      </c>
      <c r="Q427" s="366">
        <v>0.97870000000000001</v>
      </c>
      <c r="R427" s="367">
        <v>0</v>
      </c>
      <c r="S427" s="366">
        <v>0.97870000000000001</v>
      </c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8" x14ac:dyDescent="0.3">
      <c r="A428" s="1"/>
      <c r="B428" s="364">
        <v>6</v>
      </c>
      <c r="C428" s="68">
        <v>424</v>
      </c>
      <c r="D428" s="69">
        <v>80673597</v>
      </c>
      <c r="E428" s="69" t="s">
        <v>300</v>
      </c>
      <c r="F428" s="24" t="s">
        <v>642</v>
      </c>
      <c r="G428" s="365">
        <v>1</v>
      </c>
      <c r="H428" s="365">
        <v>1</v>
      </c>
      <c r="I428" s="365">
        <v>1</v>
      </c>
      <c r="J428" s="365">
        <v>1</v>
      </c>
      <c r="K428" s="365">
        <v>1</v>
      </c>
      <c r="L428" s="365">
        <v>0.97699999999999998</v>
      </c>
      <c r="M428" s="365">
        <v>0.8</v>
      </c>
      <c r="N428" s="365">
        <v>1</v>
      </c>
      <c r="O428" s="365">
        <v>1</v>
      </c>
      <c r="P428" s="365">
        <v>1</v>
      </c>
      <c r="Q428" s="366">
        <v>0.92769999999999997</v>
      </c>
      <c r="R428" s="367">
        <v>0</v>
      </c>
      <c r="S428" s="366">
        <v>0.92769999999999997</v>
      </c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8" x14ac:dyDescent="0.3">
      <c r="A429" s="1"/>
      <c r="B429" s="364">
        <v>7</v>
      </c>
      <c r="C429" s="68">
        <v>425</v>
      </c>
      <c r="D429" s="69">
        <v>80672843</v>
      </c>
      <c r="E429" s="69" t="s">
        <v>301</v>
      </c>
      <c r="F429" s="24" t="s">
        <v>642</v>
      </c>
      <c r="G429" s="365">
        <v>0.98</v>
      </c>
      <c r="H429" s="365">
        <v>1</v>
      </c>
      <c r="I429" s="365">
        <v>1</v>
      </c>
      <c r="J429" s="365">
        <v>1</v>
      </c>
      <c r="K429" s="365">
        <v>1</v>
      </c>
      <c r="L429" s="365">
        <v>0.99229999999999996</v>
      </c>
      <c r="M429" s="365">
        <v>1</v>
      </c>
      <c r="N429" s="365">
        <v>1</v>
      </c>
      <c r="O429" s="365">
        <v>1</v>
      </c>
      <c r="P429" s="365">
        <v>1</v>
      </c>
      <c r="Q429" s="366">
        <v>0.99719999999999998</v>
      </c>
      <c r="R429" s="367">
        <v>0</v>
      </c>
      <c r="S429" s="366">
        <v>0.99719999999999998</v>
      </c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8" x14ac:dyDescent="0.3">
      <c r="A430" s="1"/>
      <c r="B430" s="364">
        <v>8</v>
      </c>
      <c r="C430" s="68">
        <v>426</v>
      </c>
      <c r="D430" s="69">
        <v>80670966</v>
      </c>
      <c r="E430" s="69" t="s">
        <v>302</v>
      </c>
      <c r="F430" s="24" t="s">
        <v>642</v>
      </c>
      <c r="G430" s="365">
        <v>1</v>
      </c>
      <c r="H430" s="365">
        <v>1</v>
      </c>
      <c r="I430" s="365">
        <v>1</v>
      </c>
      <c r="J430" s="365">
        <v>1</v>
      </c>
      <c r="K430" s="365">
        <v>1</v>
      </c>
      <c r="L430" s="365">
        <v>1</v>
      </c>
      <c r="M430" s="365">
        <v>1</v>
      </c>
      <c r="N430" s="365">
        <v>1</v>
      </c>
      <c r="O430" s="365">
        <v>0</v>
      </c>
      <c r="P430" s="365">
        <v>1</v>
      </c>
      <c r="Q430" s="366">
        <v>0.98</v>
      </c>
      <c r="R430" s="367">
        <v>0</v>
      </c>
      <c r="S430" s="366">
        <v>0.98</v>
      </c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8" x14ac:dyDescent="0.3">
      <c r="A431" s="1"/>
      <c r="B431" s="364">
        <v>1</v>
      </c>
      <c r="C431" s="68">
        <v>427</v>
      </c>
      <c r="D431" s="69">
        <v>80669288</v>
      </c>
      <c r="E431" s="69" t="s">
        <v>303</v>
      </c>
      <c r="F431" s="24" t="s">
        <v>642</v>
      </c>
      <c r="G431" s="365">
        <v>1</v>
      </c>
      <c r="H431" s="365">
        <v>1</v>
      </c>
      <c r="I431" s="365">
        <v>1</v>
      </c>
      <c r="J431" s="365">
        <v>1</v>
      </c>
      <c r="K431" s="365">
        <v>0</v>
      </c>
      <c r="L431" s="365">
        <v>1</v>
      </c>
      <c r="M431" s="365">
        <v>1</v>
      </c>
      <c r="N431" s="365">
        <v>1</v>
      </c>
      <c r="O431" s="365">
        <v>0</v>
      </c>
      <c r="P431" s="365">
        <v>1</v>
      </c>
      <c r="Q431" s="366">
        <v>0.93</v>
      </c>
      <c r="R431" s="367">
        <v>0</v>
      </c>
      <c r="S431" s="366">
        <v>0.93</v>
      </c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8" x14ac:dyDescent="0.3">
      <c r="A432" s="1"/>
      <c r="B432" s="364">
        <v>2</v>
      </c>
      <c r="C432" s="68">
        <v>428</v>
      </c>
      <c r="D432" s="69">
        <v>80672174</v>
      </c>
      <c r="E432" s="69" t="s">
        <v>304</v>
      </c>
      <c r="F432" s="24" t="s">
        <v>642</v>
      </c>
      <c r="G432" s="365">
        <v>0.98</v>
      </c>
      <c r="H432" s="365">
        <v>0.98</v>
      </c>
      <c r="I432" s="365">
        <v>0.99050000000000005</v>
      </c>
      <c r="J432" s="365">
        <v>1</v>
      </c>
      <c r="K432" s="365">
        <v>1</v>
      </c>
      <c r="L432" s="365">
        <v>1</v>
      </c>
      <c r="M432" s="365">
        <v>1</v>
      </c>
      <c r="N432" s="365">
        <v>1</v>
      </c>
      <c r="O432" s="365">
        <v>0</v>
      </c>
      <c r="P432" s="365">
        <v>1</v>
      </c>
      <c r="Q432" s="366">
        <v>0.97609999999999997</v>
      </c>
      <c r="R432" s="367">
        <v>0</v>
      </c>
      <c r="S432" s="366">
        <v>0.97609999999999997</v>
      </c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8" x14ac:dyDescent="0.3">
      <c r="A433" s="1"/>
      <c r="B433" s="364">
        <v>3</v>
      </c>
      <c r="C433" s="68">
        <v>429</v>
      </c>
      <c r="D433" s="69">
        <v>80673116</v>
      </c>
      <c r="E433" s="69" t="s">
        <v>305</v>
      </c>
      <c r="F433" s="24" t="s">
        <v>642</v>
      </c>
      <c r="G433" s="365">
        <v>1</v>
      </c>
      <c r="H433" s="365">
        <v>1</v>
      </c>
      <c r="I433" s="365">
        <v>1</v>
      </c>
      <c r="J433" s="365">
        <v>0.73040000000000005</v>
      </c>
      <c r="K433" s="365">
        <v>0</v>
      </c>
      <c r="L433" s="365">
        <v>0.99399999999999999</v>
      </c>
      <c r="M433" s="365">
        <v>0.8</v>
      </c>
      <c r="N433" s="365">
        <v>0</v>
      </c>
      <c r="O433" s="365">
        <v>0</v>
      </c>
      <c r="P433" s="365">
        <v>1</v>
      </c>
      <c r="Q433" s="366">
        <v>0.75239999999999996</v>
      </c>
      <c r="R433" s="367">
        <v>0</v>
      </c>
      <c r="S433" s="366">
        <v>0.75239999999999996</v>
      </c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8" x14ac:dyDescent="0.3">
      <c r="A434" s="1"/>
      <c r="B434" s="364">
        <v>4</v>
      </c>
      <c r="C434" s="68">
        <v>430</v>
      </c>
      <c r="D434" s="69">
        <v>80670780</v>
      </c>
      <c r="E434" s="69" t="s">
        <v>257</v>
      </c>
      <c r="F434" s="24" t="s">
        <v>628</v>
      </c>
      <c r="G434" s="365">
        <v>1</v>
      </c>
      <c r="H434" s="365">
        <v>1</v>
      </c>
      <c r="I434" s="365">
        <v>1</v>
      </c>
      <c r="J434" s="365">
        <v>1</v>
      </c>
      <c r="K434" s="365">
        <v>1</v>
      </c>
      <c r="L434" s="365">
        <v>1</v>
      </c>
      <c r="M434" s="365">
        <v>1</v>
      </c>
      <c r="N434" s="365">
        <v>1</v>
      </c>
      <c r="O434" s="365">
        <v>1</v>
      </c>
      <c r="P434" s="365">
        <v>1</v>
      </c>
      <c r="Q434" s="366">
        <v>1</v>
      </c>
      <c r="R434" s="367">
        <v>0</v>
      </c>
      <c r="S434" s="366">
        <v>1</v>
      </c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8" x14ac:dyDescent="0.3">
      <c r="A435" s="1"/>
      <c r="B435" s="364">
        <v>5</v>
      </c>
      <c r="C435" s="68">
        <v>431</v>
      </c>
      <c r="D435" s="69">
        <v>80664675</v>
      </c>
      <c r="E435" s="69" t="s">
        <v>258</v>
      </c>
      <c r="F435" s="24" t="s">
        <v>628</v>
      </c>
      <c r="G435" s="365">
        <v>1</v>
      </c>
      <c r="H435" s="365">
        <v>1</v>
      </c>
      <c r="I435" s="365">
        <v>1</v>
      </c>
      <c r="J435" s="365">
        <v>1</v>
      </c>
      <c r="K435" s="365">
        <v>1</v>
      </c>
      <c r="L435" s="365">
        <v>1</v>
      </c>
      <c r="M435" s="365">
        <v>1</v>
      </c>
      <c r="N435" s="365">
        <v>1</v>
      </c>
      <c r="O435" s="365">
        <v>1</v>
      </c>
      <c r="P435" s="365">
        <v>1</v>
      </c>
      <c r="Q435" s="366">
        <v>1</v>
      </c>
      <c r="R435" s="367">
        <v>0</v>
      </c>
      <c r="S435" s="366">
        <v>1</v>
      </c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8" x14ac:dyDescent="0.3">
      <c r="A436" s="1"/>
      <c r="B436" s="364">
        <v>6</v>
      </c>
      <c r="C436" s="68">
        <v>432</v>
      </c>
      <c r="D436" s="69">
        <v>80664681</v>
      </c>
      <c r="E436" s="69" t="s">
        <v>259</v>
      </c>
      <c r="F436" s="24" t="s">
        <v>628</v>
      </c>
      <c r="G436" s="365">
        <v>1</v>
      </c>
      <c r="H436" s="365">
        <v>1</v>
      </c>
      <c r="I436" s="365">
        <v>1</v>
      </c>
      <c r="J436" s="365">
        <v>1</v>
      </c>
      <c r="K436" s="365">
        <v>1</v>
      </c>
      <c r="L436" s="365">
        <v>0.97150000000000003</v>
      </c>
      <c r="M436" s="365">
        <v>1</v>
      </c>
      <c r="N436" s="365">
        <v>1</v>
      </c>
      <c r="O436" s="365">
        <v>0</v>
      </c>
      <c r="P436" s="365">
        <v>1</v>
      </c>
      <c r="Q436" s="366">
        <v>0.97719999999999996</v>
      </c>
      <c r="R436" s="367">
        <v>0</v>
      </c>
      <c r="S436" s="366">
        <v>0.97719999999999996</v>
      </c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8" x14ac:dyDescent="0.3">
      <c r="A437" s="1"/>
      <c r="B437" s="364">
        <v>7</v>
      </c>
      <c r="C437" s="68">
        <v>433</v>
      </c>
      <c r="D437" s="69">
        <v>80672807</v>
      </c>
      <c r="E437" s="69" t="s">
        <v>260</v>
      </c>
      <c r="F437" s="24" t="s">
        <v>628</v>
      </c>
      <c r="G437" s="365">
        <v>0.98</v>
      </c>
      <c r="H437" s="365">
        <v>1</v>
      </c>
      <c r="I437" s="365">
        <v>1</v>
      </c>
      <c r="J437" s="365">
        <v>1</v>
      </c>
      <c r="K437" s="365">
        <v>1</v>
      </c>
      <c r="L437" s="365">
        <v>1</v>
      </c>
      <c r="M437" s="365">
        <v>1</v>
      </c>
      <c r="N437" s="365">
        <v>1</v>
      </c>
      <c r="O437" s="365">
        <v>0</v>
      </c>
      <c r="P437" s="365">
        <v>1</v>
      </c>
      <c r="Q437" s="366">
        <v>0.97799999999999998</v>
      </c>
      <c r="R437" s="367">
        <v>0</v>
      </c>
      <c r="S437" s="366">
        <v>0.97799999999999998</v>
      </c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8" x14ac:dyDescent="0.3">
      <c r="A438" s="1"/>
      <c r="B438" s="364">
        <v>1</v>
      </c>
      <c r="C438" s="68">
        <v>434</v>
      </c>
      <c r="D438" s="69">
        <v>80672635</v>
      </c>
      <c r="E438" s="69" t="s">
        <v>261</v>
      </c>
      <c r="F438" s="24" t="s">
        <v>628</v>
      </c>
      <c r="G438" s="365">
        <v>0.98</v>
      </c>
      <c r="H438" s="365">
        <v>1</v>
      </c>
      <c r="I438" s="365">
        <v>1</v>
      </c>
      <c r="J438" s="365">
        <v>1</v>
      </c>
      <c r="K438" s="365">
        <v>1</v>
      </c>
      <c r="L438" s="365">
        <v>1</v>
      </c>
      <c r="M438" s="365">
        <v>1</v>
      </c>
      <c r="N438" s="365">
        <v>1</v>
      </c>
      <c r="O438" s="365">
        <v>1</v>
      </c>
      <c r="P438" s="365">
        <v>0.75</v>
      </c>
      <c r="Q438" s="366">
        <v>0.98550000000000004</v>
      </c>
      <c r="R438" s="367">
        <v>0</v>
      </c>
      <c r="S438" s="366">
        <v>0.98550000000000004</v>
      </c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8" x14ac:dyDescent="0.3">
      <c r="A439" s="1"/>
      <c r="B439" s="364">
        <v>2</v>
      </c>
      <c r="C439" s="68">
        <v>435</v>
      </c>
      <c r="D439" s="69">
        <v>80674452</v>
      </c>
      <c r="E439" s="69" t="s">
        <v>262</v>
      </c>
      <c r="F439" s="24" t="s">
        <v>628</v>
      </c>
      <c r="G439" s="365">
        <v>0.98</v>
      </c>
      <c r="H439" s="365">
        <v>1</v>
      </c>
      <c r="I439" s="365">
        <v>1</v>
      </c>
      <c r="J439" s="365">
        <v>1</v>
      </c>
      <c r="K439" s="365">
        <v>1</v>
      </c>
      <c r="L439" s="365">
        <v>1</v>
      </c>
      <c r="M439" s="365">
        <v>1</v>
      </c>
      <c r="N439" s="365">
        <v>1</v>
      </c>
      <c r="O439" s="365">
        <v>1</v>
      </c>
      <c r="P439" s="365">
        <v>1</v>
      </c>
      <c r="Q439" s="366">
        <v>0.998</v>
      </c>
      <c r="R439" s="367">
        <v>0</v>
      </c>
      <c r="S439" s="366">
        <v>0.998</v>
      </c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8" x14ac:dyDescent="0.3">
      <c r="A440" s="1"/>
      <c r="B440" s="364">
        <v>3</v>
      </c>
      <c r="C440" s="68">
        <v>436</v>
      </c>
      <c r="D440" s="34">
        <v>66010</v>
      </c>
      <c r="E440" s="273" t="s">
        <v>90</v>
      </c>
      <c r="F440" s="34" t="s">
        <v>704</v>
      </c>
      <c r="G440" s="365">
        <v>1</v>
      </c>
      <c r="H440" s="365">
        <v>1</v>
      </c>
      <c r="I440" s="365">
        <v>1</v>
      </c>
      <c r="J440" s="365">
        <v>0.99009999999999998</v>
      </c>
      <c r="K440" s="365">
        <v>1</v>
      </c>
      <c r="L440" s="365">
        <v>1</v>
      </c>
      <c r="M440" s="365">
        <v>0.8</v>
      </c>
      <c r="N440" s="365">
        <v>1</v>
      </c>
      <c r="O440" s="365">
        <v>0</v>
      </c>
      <c r="P440" s="365">
        <v>0.5</v>
      </c>
      <c r="Q440" s="366">
        <v>0.88400000000000001</v>
      </c>
      <c r="R440" s="367">
        <v>0</v>
      </c>
      <c r="S440" s="366">
        <v>0.88400000000000001</v>
      </c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8" x14ac:dyDescent="0.3">
      <c r="A441" s="1"/>
      <c r="B441" s="364">
        <v>4</v>
      </c>
      <c r="C441" s="68">
        <v>437</v>
      </c>
      <c r="D441" s="34">
        <v>77178</v>
      </c>
      <c r="E441" s="273" t="s">
        <v>91</v>
      </c>
      <c r="F441" s="34" t="s">
        <v>704</v>
      </c>
      <c r="G441" s="365">
        <v>1</v>
      </c>
      <c r="H441" s="365">
        <v>1</v>
      </c>
      <c r="I441" s="365">
        <v>1</v>
      </c>
      <c r="J441" s="365">
        <v>0.84150000000000003</v>
      </c>
      <c r="K441" s="365">
        <v>1</v>
      </c>
      <c r="L441" s="365">
        <v>1</v>
      </c>
      <c r="M441" s="365">
        <v>0.8</v>
      </c>
      <c r="N441" s="365">
        <v>1</v>
      </c>
      <c r="O441" s="365">
        <v>0</v>
      </c>
      <c r="P441" s="365">
        <v>0.5</v>
      </c>
      <c r="Q441" s="366">
        <v>0.86909999999999998</v>
      </c>
      <c r="R441" s="367">
        <v>0</v>
      </c>
      <c r="S441" s="366">
        <v>0.86909999999999998</v>
      </c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8" x14ac:dyDescent="0.3">
      <c r="A442" s="1"/>
      <c r="B442" s="364">
        <v>5</v>
      </c>
      <c r="C442" s="68">
        <v>438</v>
      </c>
      <c r="D442" s="34">
        <v>63582</v>
      </c>
      <c r="E442" s="273" t="s">
        <v>92</v>
      </c>
      <c r="F442" s="34" t="s">
        <v>704</v>
      </c>
      <c r="G442" s="365">
        <v>0.98</v>
      </c>
      <c r="H442" s="365">
        <v>1</v>
      </c>
      <c r="I442" s="365">
        <v>1</v>
      </c>
      <c r="J442" s="365">
        <v>0.67530000000000001</v>
      </c>
      <c r="K442" s="365">
        <v>0</v>
      </c>
      <c r="L442" s="365">
        <v>0.97719999999999996</v>
      </c>
      <c r="M442" s="365">
        <v>0.8</v>
      </c>
      <c r="N442" s="365">
        <v>0</v>
      </c>
      <c r="O442" s="365">
        <v>0</v>
      </c>
      <c r="P442" s="365">
        <v>0.5</v>
      </c>
      <c r="Q442" s="366">
        <v>0.71830000000000005</v>
      </c>
      <c r="R442" s="367">
        <v>0</v>
      </c>
      <c r="S442" s="366">
        <v>0.71830000000000005</v>
      </c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8" x14ac:dyDescent="0.3">
      <c r="A443" s="1"/>
      <c r="B443" s="364">
        <v>6</v>
      </c>
      <c r="C443" s="68">
        <v>439</v>
      </c>
      <c r="D443" s="34">
        <v>72049</v>
      </c>
      <c r="E443" s="273" t="s">
        <v>93</v>
      </c>
      <c r="F443" s="34" t="s">
        <v>704</v>
      </c>
      <c r="G443" s="365">
        <v>0.96</v>
      </c>
      <c r="H443" s="365">
        <v>1</v>
      </c>
      <c r="I443" s="365">
        <v>0.90900000000000003</v>
      </c>
      <c r="J443" s="365">
        <v>0.8296</v>
      </c>
      <c r="K443" s="365">
        <v>1</v>
      </c>
      <c r="L443" s="365">
        <v>0.97899999999999998</v>
      </c>
      <c r="M443" s="365">
        <v>0.8</v>
      </c>
      <c r="N443" s="365">
        <v>1</v>
      </c>
      <c r="O443" s="365">
        <v>0</v>
      </c>
      <c r="P443" s="365">
        <v>0.5</v>
      </c>
      <c r="Q443" s="366">
        <v>0.8528</v>
      </c>
      <c r="R443" s="367">
        <v>0</v>
      </c>
      <c r="S443" s="366">
        <v>0.8528</v>
      </c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8" x14ac:dyDescent="0.3">
      <c r="A444" s="1"/>
      <c r="B444" s="364">
        <v>7</v>
      </c>
      <c r="C444" s="68">
        <v>440</v>
      </c>
      <c r="D444" s="34">
        <v>64256</v>
      </c>
      <c r="E444" s="273" t="s">
        <v>94</v>
      </c>
      <c r="F444" s="34" t="s">
        <v>704</v>
      </c>
      <c r="G444" s="365">
        <v>1</v>
      </c>
      <c r="H444" s="365">
        <v>1</v>
      </c>
      <c r="I444" s="365">
        <v>1</v>
      </c>
      <c r="J444" s="365">
        <v>0.70650000000000002</v>
      </c>
      <c r="K444" s="365">
        <v>0</v>
      </c>
      <c r="L444" s="365">
        <v>1</v>
      </c>
      <c r="M444" s="365">
        <v>0.8</v>
      </c>
      <c r="N444" s="365">
        <v>0</v>
      </c>
      <c r="O444" s="365">
        <v>0</v>
      </c>
      <c r="P444" s="365">
        <v>0.5</v>
      </c>
      <c r="Q444" s="366">
        <v>0.72560000000000002</v>
      </c>
      <c r="R444" s="367">
        <v>0</v>
      </c>
      <c r="S444" s="366">
        <v>0.72560000000000002</v>
      </c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8" x14ac:dyDescent="0.3">
      <c r="A445" s="1"/>
      <c r="B445" s="364">
        <v>1</v>
      </c>
      <c r="C445" s="68">
        <v>441</v>
      </c>
      <c r="D445" s="34">
        <v>70008</v>
      </c>
      <c r="E445" s="273" t="s">
        <v>518</v>
      </c>
      <c r="F445" s="34" t="s">
        <v>705</v>
      </c>
      <c r="G445" s="365">
        <v>0.96</v>
      </c>
      <c r="H445" s="365">
        <v>1</v>
      </c>
      <c r="I445" s="365">
        <v>1</v>
      </c>
      <c r="J445" s="365">
        <v>0.46029999999999999</v>
      </c>
      <c r="K445" s="365">
        <v>0</v>
      </c>
      <c r="L445" s="365">
        <v>1</v>
      </c>
      <c r="M445" s="365">
        <v>1</v>
      </c>
      <c r="N445" s="365">
        <v>0.5</v>
      </c>
      <c r="O445" s="365">
        <v>0</v>
      </c>
      <c r="P445" s="365">
        <v>0.5</v>
      </c>
      <c r="Q445" s="366">
        <v>0.80700000000000005</v>
      </c>
      <c r="R445" s="367">
        <v>0</v>
      </c>
      <c r="S445" s="366">
        <v>0.80700000000000005</v>
      </c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8" x14ac:dyDescent="0.3">
      <c r="A446" s="1"/>
      <c r="B446" s="364">
        <v>2</v>
      </c>
      <c r="C446" s="68">
        <v>442</v>
      </c>
      <c r="D446" s="34">
        <v>72045</v>
      </c>
      <c r="E446" s="273" t="s">
        <v>519</v>
      </c>
      <c r="F446" s="34" t="s">
        <v>705</v>
      </c>
      <c r="G446" s="365">
        <v>0.98</v>
      </c>
      <c r="H446" s="365">
        <v>0.98</v>
      </c>
      <c r="I446" s="365">
        <v>1</v>
      </c>
      <c r="J446" s="365">
        <v>0.71430000000000005</v>
      </c>
      <c r="K446" s="365">
        <v>1</v>
      </c>
      <c r="L446" s="365">
        <v>1</v>
      </c>
      <c r="M446" s="365">
        <v>1</v>
      </c>
      <c r="N446" s="365">
        <v>0</v>
      </c>
      <c r="O446" s="365">
        <v>0</v>
      </c>
      <c r="P446" s="365">
        <v>0.5</v>
      </c>
      <c r="Q446" s="366">
        <v>0.84340000000000004</v>
      </c>
      <c r="R446" s="367">
        <v>0</v>
      </c>
      <c r="S446" s="366">
        <v>0.84340000000000004</v>
      </c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8" x14ac:dyDescent="0.3">
      <c r="A447" s="1"/>
      <c r="B447" s="364">
        <v>3</v>
      </c>
      <c r="C447" s="68">
        <v>443</v>
      </c>
      <c r="D447" s="34">
        <v>78912</v>
      </c>
      <c r="E447" s="273" t="s">
        <v>520</v>
      </c>
      <c r="F447" s="34" t="s">
        <v>705</v>
      </c>
      <c r="G447" s="365">
        <v>1</v>
      </c>
      <c r="H447" s="365">
        <v>1</v>
      </c>
      <c r="I447" s="365">
        <v>1</v>
      </c>
      <c r="J447" s="365">
        <v>0.94320000000000004</v>
      </c>
      <c r="K447" s="365">
        <v>1</v>
      </c>
      <c r="L447" s="365">
        <v>1</v>
      </c>
      <c r="M447" s="365">
        <v>1</v>
      </c>
      <c r="N447" s="365">
        <v>0</v>
      </c>
      <c r="O447" s="365">
        <v>0</v>
      </c>
      <c r="P447" s="365">
        <v>0.5</v>
      </c>
      <c r="Q447" s="366">
        <v>0.86929999999999996</v>
      </c>
      <c r="R447" s="367">
        <v>0</v>
      </c>
      <c r="S447" s="366">
        <v>0.86929999999999996</v>
      </c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8" x14ac:dyDescent="0.3">
      <c r="A448" s="1"/>
      <c r="B448" s="364">
        <v>4</v>
      </c>
      <c r="C448" s="68">
        <v>444</v>
      </c>
      <c r="D448" s="34">
        <v>64076</v>
      </c>
      <c r="E448" s="273" t="s">
        <v>521</v>
      </c>
      <c r="F448" s="34" t="s">
        <v>705</v>
      </c>
      <c r="G448" s="365">
        <v>0.96</v>
      </c>
      <c r="H448" s="365">
        <v>0.93</v>
      </c>
      <c r="I448" s="365">
        <v>0.99660000000000004</v>
      </c>
      <c r="J448" s="365">
        <v>1</v>
      </c>
      <c r="K448" s="365">
        <v>1</v>
      </c>
      <c r="L448" s="365">
        <v>0.995</v>
      </c>
      <c r="M448" s="365">
        <v>0.8</v>
      </c>
      <c r="N448" s="365">
        <v>0.5</v>
      </c>
      <c r="O448" s="365">
        <v>0</v>
      </c>
      <c r="P448" s="365">
        <v>0.5</v>
      </c>
      <c r="Q448" s="366">
        <v>0.8367</v>
      </c>
      <c r="R448" s="367">
        <v>0</v>
      </c>
      <c r="S448" s="366">
        <v>0.8367</v>
      </c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8" x14ac:dyDescent="0.3">
      <c r="A449" s="1"/>
      <c r="B449" s="364">
        <v>5</v>
      </c>
      <c r="C449" s="68">
        <v>445</v>
      </c>
      <c r="D449" s="34">
        <v>74732</v>
      </c>
      <c r="E449" s="273" t="s">
        <v>522</v>
      </c>
      <c r="F449" s="34" t="s">
        <v>705</v>
      </c>
      <c r="G449" s="365">
        <v>0.98</v>
      </c>
      <c r="H449" s="365">
        <v>1</v>
      </c>
      <c r="I449" s="365">
        <v>1</v>
      </c>
      <c r="J449" s="365">
        <v>0.69899999999999995</v>
      </c>
      <c r="K449" s="365">
        <v>1</v>
      </c>
      <c r="L449" s="365">
        <v>0.97319999999999995</v>
      </c>
      <c r="M449" s="365">
        <v>0.5</v>
      </c>
      <c r="N449" s="365">
        <v>1</v>
      </c>
      <c r="O449" s="365">
        <v>0</v>
      </c>
      <c r="P449" s="365">
        <v>0.5</v>
      </c>
      <c r="Q449" s="366">
        <v>0.74519999999999997</v>
      </c>
      <c r="R449" s="367">
        <v>0</v>
      </c>
      <c r="S449" s="366">
        <v>0.74519999999999997</v>
      </c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8" x14ac:dyDescent="0.3">
      <c r="A450" s="1"/>
      <c r="B450" s="364">
        <v>6</v>
      </c>
      <c r="C450" s="68">
        <v>446</v>
      </c>
      <c r="D450" s="34">
        <v>67155</v>
      </c>
      <c r="E450" s="273" t="s">
        <v>506</v>
      </c>
      <c r="F450" s="34" t="s">
        <v>706</v>
      </c>
      <c r="G450" s="365">
        <v>1</v>
      </c>
      <c r="H450" s="365">
        <v>1</v>
      </c>
      <c r="I450" s="365">
        <v>1</v>
      </c>
      <c r="J450" s="365">
        <v>0.84519999999999995</v>
      </c>
      <c r="K450" s="365">
        <v>0</v>
      </c>
      <c r="L450" s="365">
        <v>1</v>
      </c>
      <c r="M450" s="365">
        <v>1</v>
      </c>
      <c r="N450" s="365">
        <v>0</v>
      </c>
      <c r="O450" s="365">
        <v>0</v>
      </c>
      <c r="P450" s="365">
        <v>0.5</v>
      </c>
      <c r="Q450" s="366">
        <v>0.8095</v>
      </c>
      <c r="R450" s="367">
        <v>0</v>
      </c>
      <c r="S450" s="366">
        <v>0.8095</v>
      </c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8" x14ac:dyDescent="0.3">
      <c r="A451" s="1"/>
      <c r="B451" s="364">
        <v>7</v>
      </c>
      <c r="C451" s="68">
        <v>447</v>
      </c>
      <c r="D451" s="34">
        <v>61740</v>
      </c>
      <c r="E451" s="273" t="s">
        <v>507</v>
      </c>
      <c r="F451" s="34" t="s">
        <v>706</v>
      </c>
      <c r="G451" s="365">
        <v>1</v>
      </c>
      <c r="H451" s="365">
        <v>1</v>
      </c>
      <c r="I451" s="365">
        <v>1</v>
      </c>
      <c r="J451" s="365">
        <v>0.43149999999999999</v>
      </c>
      <c r="K451" s="365">
        <v>0</v>
      </c>
      <c r="L451" s="365">
        <v>1</v>
      </c>
      <c r="M451" s="365">
        <v>1</v>
      </c>
      <c r="N451" s="365">
        <v>0</v>
      </c>
      <c r="O451" s="365">
        <v>0</v>
      </c>
      <c r="P451" s="365">
        <v>0.5</v>
      </c>
      <c r="Q451" s="366">
        <v>0.7681</v>
      </c>
      <c r="R451" s="367">
        <v>0</v>
      </c>
      <c r="S451" s="366">
        <v>0.7681</v>
      </c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8" x14ac:dyDescent="0.3">
      <c r="A452" s="1"/>
      <c r="B452" s="364">
        <v>1</v>
      </c>
      <c r="C452" s="68">
        <v>448</v>
      </c>
      <c r="D452" s="34">
        <v>67949</v>
      </c>
      <c r="E452" s="273" t="s">
        <v>508</v>
      </c>
      <c r="F452" s="34" t="s">
        <v>706</v>
      </c>
      <c r="G452" s="365">
        <v>1</v>
      </c>
      <c r="H452" s="365">
        <v>1</v>
      </c>
      <c r="I452" s="365">
        <v>1</v>
      </c>
      <c r="J452" s="365">
        <v>1</v>
      </c>
      <c r="K452" s="365">
        <v>1</v>
      </c>
      <c r="L452" s="365">
        <v>0.95399999999999996</v>
      </c>
      <c r="M452" s="365">
        <v>0.8</v>
      </c>
      <c r="N452" s="365">
        <v>0.5</v>
      </c>
      <c r="O452" s="365">
        <v>0</v>
      </c>
      <c r="P452" s="365">
        <v>0.5</v>
      </c>
      <c r="Q452" s="366">
        <v>0.84040000000000004</v>
      </c>
      <c r="R452" s="367">
        <v>0</v>
      </c>
      <c r="S452" s="366">
        <v>0.84040000000000004</v>
      </c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8" x14ac:dyDescent="0.3">
      <c r="A453" s="1"/>
      <c r="B453" s="364">
        <v>2</v>
      </c>
      <c r="C453" s="68">
        <v>449</v>
      </c>
      <c r="D453" s="34">
        <v>73100</v>
      </c>
      <c r="E453" s="273" t="s">
        <v>509</v>
      </c>
      <c r="F453" s="34" t="s">
        <v>706</v>
      </c>
      <c r="G453" s="365">
        <v>1</v>
      </c>
      <c r="H453" s="365">
        <v>0.98</v>
      </c>
      <c r="I453" s="365">
        <v>1</v>
      </c>
      <c r="J453" s="365">
        <v>0.75600000000000001</v>
      </c>
      <c r="K453" s="365">
        <v>0</v>
      </c>
      <c r="L453" s="365">
        <v>1</v>
      </c>
      <c r="M453" s="365">
        <v>0.8</v>
      </c>
      <c r="N453" s="365">
        <v>0.5</v>
      </c>
      <c r="O453" s="365">
        <v>0</v>
      </c>
      <c r="P453" s="365">
        <v>0.5</v>
      </c>
      <c r="Q453" s="366">
        <v>0.76959999999999995</v>
      </c>
      <c r="R453" s="367">
        <v>0</v>
      </c>
      <c r="S453" s="366">
        <v>0.76959999999999995</v>
      </c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8" x14ac:dyDescent="0.3">
      <c r="A454" s="1"/>
      <c r="B454" s="364">
        <v>3</v>
      </c>
      <c r="C454" s="68">
        <v>450</v>
      </c>
      <c r="D454" s="34">
        <v>73097</v>
      </c>
      <c r="E454" s="273" t="s">
        <v>524</v>
      </c>
      <c r="F454" s="34" t="s">
        <v>703</v>
      </c>
      <c r="G454" s="365">
        <v>0.98</v>
      </c>
      <c r="H454" s="365">
        <v>1</v>
      </c>
      <c r="I454" s="365">
        <v>1</v>
      </c>
      <c r="J454" s="365">
        <v>0.75380000000000003</v>
      </c>
      <c r="K454" s="365">
        <v>0</v>
      </c>
      <c r="L454" s="365">
        <v>0.99329999999999996</v>
      </c>
      <c r="M454" s="365">
        <v>1</v>
      </c>
      <c r="N454" s="365">
        <v>0.5</v>
      </c>
      <c r="O454" s="365">
        <v>0</v>
      </c>
      <c r="P454" s="365">
        <v>0.5</v>
      </c>
      <c r="Q454" s="366">
        <v>0.8377</v>
      </c>
      <c r="R454" s="367">
        <v>0</v>
      </c>
      <c r="S454" s="366">
        <v>0.8377</v>
      </c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8" x14ac:dyDescent="0.3">
      <c r="A455" s="1"/>
      <c r="B455" s="364">
        <v>4</v>
      </c>
      <c r="C455" s="68">
        <v>451</v>
      </c>
      <c r="D455" s="34">
        <v>64240</v>
      </c>
      <c r="E455" s="273" t="s">
        <v>611</v>
      </c>
      <c r="F455" s="34" t="s">
        <v>703</v>
      </c>
      <c r="G455" s="365">
        <v>1</v>
      </c>
      <c r="H455" s="365">
        <v>1</v>
      </c>
      <c r="I455" s="369" t="e">
        <v>#VALUE!</v>
      </c>
      <c r="J455" s="369" t="e">
        <v>#VALUE!</v>
      </c>
      <c r="K455" s="365">
        <v>0</v>
      </c>
      <c r="L455" s="365">
        <v>0</v>
      </c>
      <c r="M455" s="365">
        <v>1</v>
      </c>
      <c r="N455" s="365">
        <v>1</v>
      </c>
      <c r="O455" s="365">
        <v>0</v>
      </c>
      <c r="P455" s="365">
        <v>1</v>
      </c>
      <c r="Q455" s="370" t="e">
        <v>#VALUE!</v>
      </c>
      <c r="R455" s="367">
        <v>0</v>
      </c>
      <c r="S455" s="370"/>
      <c r="T455" s="1" t="s">
        <v>707</v>
      </c>
      <c r="U455" s="1"/>
      <c r="V455" s="1"/>
      <c r="W455" s="1"/>
      <c r="X455" s="1"/>
      <c r="Y455" s="1"/>
      <c r="Z455" s="1"/>
      <c r="AA455" s="1"/>
      <c r="AB455" s="1"/>
    </row>
    <row r="456" spans="1:28" ht="18" x14ac:dyDescent="0.3">
      <c r="A456" s="1"/>
      <c r="B456" s="364">
        <v>5</v>
      </c>
      <c r="C456" s="68">
        <v>452</v>
      </c>
      <c r="D456" s="34">
        <v>70331</v>
      </c>
      <c r="E456" s="273" t="s">
        <v>525</v>
      </c>
      <c r="F456" s="34" t="s">
        <v>703</v>
      </c>
      <c r="G456" s="365">
        <v>1</v>
      </c>
      <c r="H456" s="365">
        <v>1</v>
      </c>
      <c r="I456" s="365">
        <v>1</v>
      </c>
      <c r="J456" s="365">
        <v>0.71740000000000004</v>
      </c>
      <c r="K456" s="365">
        <v>1</v>
      </c>
      <c r="L456" s="365">
        <v>1</v>
      </c>
      <c r="M456" s="365">
        <v>1</v>
      </c>
      <c r="N456" s="365">
        <v>0.5</v>
      </c>
      <c r="O456" s="365">
        <v>0</v>
      </c>
      <c r="P456" s="365">
        <v>0.5</v>
      </c>
      <c r="Q456" s="366">
        <v>0.88670000000000004</v>
      </c>
      <c r="R456" s="367">
        <v>0</v>
      </c>
      <c r="S456" s="366">
        <v>0.88670000000000004</v>
      </c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8" x14ac:dyDescent="0.3">
      <c r="A457" s="1"/>
      <c r="B457" s="364">
        <v>6</v>
      </c>
      <c r="C457" s="68">
        <v>453</v>
      </c>
      <c r="D457" s="34">
        <v>72756</v>
      </c>
      <c r="E457" s="273" t="s">
        <v>526</v>
      </c>
      <c r="F457" s="34" t="s">
        <v>703</v>
      </c>
      <c r="G457" s="365">
        <v>1</v>
      </c>
      <c r="H457" s="365">
        <v>0.99</v>
      </c>
      <c r="I457" s="365">
        <v>1</v>
      </c>
      <c r="J457" s="365">
        <v>0.49399999999999999</v>
      </c>
      <c r="K457" s="365">
        <v>0</v>
      </c>
      <c r="L457" s="365">
        <v>1</v>
      </c>
      <c r="M457" s="365">
        <v>1</v>
      </c>
      <c r="N457" s="365">
        <v>0</v>
      </c>
      <c r="O457" s="365">
        <v>0</v>
      </c>
      <c r="P457" s="365">
        <v>0.5</v>
      </c>
      <c r="Q457" s="366">
        <v>0.77390000000000003</v>
      </c>
      <c r="R457" s="367">
        <v>0</v>
      </c>
      <c r="S457" s="366">
        <v>0.77390000000000003</v>
      </c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8" x14ac:dyDescent="0.3">
      <c r="A458" s="1"/>
      <c r="B458" s="364">
        <v>7</v>
      </c>
      <c r="C458" s="68">
        <v>454</v>
      </c>
      <c r="D458" s="30">
        <v>82402</v>
      </c>
      <c r="E458" s="371" t="s">
        <v>102</v>
      </c>
      <c r="F458" s="30" t="s">
        <v>708</v>
      </c>
      <c r="G458" s="365">
        <v>0.96</v>
      </c>
      <c r="H458" s="365">
        <v>1</v>
      </c>
      <c r="I458" s="365">
        <v>0.96330000000000005</v>
      </c>
      <c r="J458" s="365">
        <v>0.85680000000000001</v>
      </c>
      <c r="K458" s="365">
        <v>1</v>
      </c>
      <c r="L458" s="365">
        <v>0.98460000000000003</v>
      </c>
      <c r="M458" s="365">
        <v>1</v>
      </c>
      <c r="N458" s="365">
        <v>1</v>
      </c>
      <c r="O458" s="365">
        <v>0</v>
      </c>
      <c r="P458" s="369"/>
      <c r="Q458" s="366">
        <v>0.95420000000000005</v>
      </c>
      <c r="R458" s="367">
        <v>0</v>
      </c>
      <c r="S458" s="366">
        <v>0.95420000000000005</v>
      </c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8" x14ac:dyDescent="0.3">
      <c r="A459" s="1"/>
      <c r="B459" s="364">
        <v>1</v>
      </c>
      <c r="C459" s="68">
        <v>455</v>
      </c>
      <c r="D459" s="30">
        <v>82406</v>
      </c>
      <c r="E459" s="371" t="s">
        <v>103</v>
      </c>
      <c r="F459" s="30" t="s">
        <v>708</v>
      </c>
      <c r="G459" s="365">
        <v>1</v>
      </c>
      <c r="H459" s="365">
        <v>1</v>
      </c>
      <c r="I459" s="365">
        <v>1</v>
      </c>
      <c r="J459" s="365">
        <v>1</v>
      </c>
      <c r="K459" s="365">
        <v>1</v>
      </c>
      <c r="L459" s="365">
        <v>1</v>
      </c>
      <c r="M459" s="365">
        <v>1</v>
      </c>
      <c r="N459" s="365">
        <v>1</v>
      </c>
      <c r="O459" s="365">
        <v>1</v>
      </c>
      <c r="P459" s="369"/>
      <c r="Q459" s="366">
        <v>1</v>
      </c>
      <c r="R459" s="367">
        <v>0</v>
      </c>
      <c r="S459" s="366">
        <v>1</v>
      </c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8" x14ac:dyDescent="0.3">
      <c r="A460" s="1"/>
      <c r="B460" s="364">
        <v>3</v>
      </c>
      <c r="C460" s="68">
        <v>456</v>
      </c>
      <c r="D460" s="30">
        <v>82545</v>
      </c>
      <c r="E460" s="371" t="s">
        <v>104</v>
      </c>
      <c r="F460" s="30" t="s">
        <v>708</v>
      </c>
      <c r="G460" s="365">
        <v>1</v>
      </c>
      <c r="H460" s="365">
        <v>1</v>
      </c>
      <c r="I460" s="365">
        <v>1</v>
      </c>
      <c r="J460" s="365">
        <v>1</v>
      </c>
      <c r="K460" s="365">
        <v>1</v>
      </c>
      <c r="L460" s="365">
        <v>1</v>
      </c>
      <c r="M460" s="365">
        <v>1</v>
      </c>
      <c r="N460" s="365">
        <v>0.5</v>
      </c>
      <c r="O460" s="365">
        <v>0</v>
      </c>
      <c r="P460" s="369"/>
      <c r="Q460" s="366">
        <v>0.93679999999999997</v>
      </c>
      <c r="R460" s="367">
        <v>0</v>
      </c>
      <c r="S460" s="366">
        <v>0.93679999999999997</v>
      </c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8" x14ac:dyDescent="0.3">
      <c r="A461" s="1"/>
      <c r="B461" s="364">
        <v>4</v>
      </c>
      <c r="C461" s="68">
        <v>457</v>
      </c>
      <c r="D461" s="30">
        <v>82408</v>
      </c>
      <c r="E461" s="371" t="s">
        <v>105</v>
      </c>
      <c r="F461" s="30" t="s">
        <v>708</v>
      </c>
      <c r="G461" s="365">
        <v>0.94</v>
      </c>
      <c r="H461" s="365">
        <v>1</v>
      </c>
      <c r="I461" s="365">
        <v>0.997</v>
      </c>
      <c r="J461" s="365">
        <v>0.97319999999999995</v>
      </c>
      <c r="K461" s="365">
        <v>1</v>
      </c>
      <c r="L461" s="365">
        <v>0.99229999999999996</v>
      </c>
      <c r="M461" s="365">
        <v>1</v>
      </c>
      <c r="N461" s="365">
        <v>0.5</v>
      </c>
      <c r="O461" s="365">
        <v>0</v>
      </c>
      <c r="P461" s="369"/>
      <c r="Q461" s="366">
        <v>0.92659999999999998</v>
      </c>
      <c r="R461" s="367">
        <v>0</v>
      </c>
      <c r="S461" s="366">
        <v>0.92659999999999998</v>
      </c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8" x14ac:dyDescent="0.3">
      <c r="A462" s="1"/>
      <c r="B462" s="364">
        <v>5</v>
      </c>
      <c r="C462" s="68">
        <v>458</v>
      </c>
      <c r="D462" s="30">
        <v>82397</v>
      </c>
      <c r="E462" s="371" t="s">
        <v>106</v>
      </c>
      <c r="F462" s="30" t="s">
        <v>708</v>
      </c>
      <c r="G462" s="365">
        <v>0.96</v>
      </c>
      <c r="H462" s="365">
        <v>1</v>
      </c>
      <c r="I462" s="365">
        <v>1</v>
      </c>
      <c r="J462" s="365">
        <v>1</v>
      </c>
      <c r="K462" s="365">
        <v>1</v>
      </c>
      <c r="L462" s="365">
        <v>1</v>
      </c>
      <c r="M462" s="365">
        <v>1</v>
      </c>
      <c r="N462" s="365">
        <v>1</v>
      </c>
      <c r="O462" s="365">
        <v>0</v>
      </c>
      <c r="P462" s="369"/>
      <c r="Q462" s="366">
        <v>0.97470000000000001</v>
      </c>
      <c r="R462" s="367">
        <v>0</v>
      </c>
      <c r="S462" s="366">
        <v>0.97470000000000001</v>
      </c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8" x14ac:dyDescent="0.3">
      <c r="A463" s="1"/>
      <c r="B463" s="364">
        <v>6</v>
      </c>
      <c r="C463" s="68">
        <v>459</v>
      </c>
      <c r="D463" s="30">
        <v>82457</v>
      </c>
      <c r="E463" s="371" t="s">
        <v>107</v>
      </c>
      <c r="F463" s="30" t="s">
        <v>708</v>
      </c>
      <c r="G463" s="365">
        <v>1</v>
      </c>
      <c r="H463" s="365">
        <v>1</v>
      </c>
      <c r="I463" s="365">
        <v>1</v>
      </c>
      <c r="J463" s="365">
        <v>1</v>
      </c>
      <c r="K463" s="365">
        <v>1</v>
      </c>
      <c r="L463" s="365">
        <v>0.99809999999999999</v>
      </c>
      <c r="M463" s="365">
        <v>1</v>
      </c>
      <c r="N463" s="365">
        <v>1</v>
      </c>
      <c r="O463" s="365">
        <v>0</v>
      </c>
      <c r="P463" s="369"/>
      <c r="Q463" s="366">
        <v>0.97870000000000001</v>
      </c>
      <c r="R463" s="367">
        <v>0</v>
      </c>
      <c r="S463" s="366">
        <v>0.97870000000000001</v>
      </c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8" x14ac:dyDescent="0.3">
      <c r="A464" s="1"/>
      <c r="B464" s="364">
        <v>7</v>
      </c>
      <c r="C464" s="68">
        <v>460</v>
      </c>
      <c r="D464" s="30">
        <v>82407</v>
      </c>
      <c r="E464" s="371" t="s">
        <v>108</v>
      </c>
      <c r="F464" s="30" t="s">
        <v>708</v>
      </c>
      <c r="G464" s="365">
        <v>1</v>
      </c>
      <c r="H464" s="365">
        <v>1</v>
      </c>
      <c r="I464" s="365">
        <v>1</v>
      </c>
      <c r="J464" s="365">
        <v>1</v>
      </c>
      <c r="K464" s="365">
        <v>1</v>
      </c>
      <c r="L464" s="365">
        <v>1</v>
      </c>
      <c r="M464" s="365">
        <v>1</v>
      </c>
      <c r="N464" s="365">
        <v>1</v>
      </c>
      <c r="O464" s="365">
        <v>0</v>
      </c>
      <c r="P464" s="369"/>
      <c r="Q464" s="366">
        <v>0.97889999999999999</v>
      </c>
      <c r="R464" s="367">
        <v>0</v>
      </c>
      <c r="S464" s="366">
        <v>0.97889999999999999</v>
      </c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8" x14ac:dyDescent="0.3">
      <c r="A465" s="1"/>
      <c r="B465" s="364">
        <v>1</v>
      </c>
      <c r="C465" s="68">
        <v>461</v>
      </c>
      <c r="D465" s="30">
        <v>82538</v>
      </c>
      <c r="E465" s="371" t="s">
        <v>499</v>
      </c>
      <c r="F465" s="30" t="s">
        <v>709</v>
      </c>
      <c r="G465" s="365">
        <v>1</v>
      </c>
      <c r="H465" s="365">
        <v>1</v>
      </c>
      <c r="I465" s="365">
        <v>1</v>
      </c>
      <c r="J465" s="365">
        <v>1</v>
      </c>
      <c r="K465" s="365">
        <v>1</v>
      </c>
      <c r="L465" s="365">
        <v>1</v>
      </c>
      <c r="M465" s="365">
        <v>1</v>
      </c>
      <c r="N465" s="365">
        <v>1</v>
      </c>
      <c r="O465" s="365">
        <v>0</v>
      </c>
      <c r="P465" s="369"/>
      <c r="Q465" s="366">
        <v>0.97889999999999999</v>
      </c>
      <c r="R465" s="367">
        <v>0</v>
      </c>
      <c r="S465" s="366">
        <v>0.97889999999999999</v>
      </c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8" x14ac:dyDescent="0.3">
      <c r="A466" s="1"/>
      <c r="B466" s="364">
        <v>2</v>
      </c>
      <c r="C466" s="68">
        <v>462</v>
      </c>
      <c r="D466" s="30">
        <v>82398</v>
      </c>
      <c r="E466" s="30" t="s">
        <v>500</v>
      </c>
      <c r="F466" s="30" t="s">
        <v>709</v>
      </c>
      <c r="G466" s="365">
        <v>0.98</v>
      </c>
      <c r="H466" s="365">
        <v>1</v>
      </c>
      <c r="I466" s="365">
        <v>1</v>
      </c>
      <c r="J466" s="365">
        <v>0.97289999999999999</v>
      </c>
      <c r="K466" s="365">
        <v>1</v>
      </c>
      <c r="L466" s="365">
        <v>1</v>
      </c>
      <c r="M466" s="365">
        <v>1</v>
      </c>
      <c r="N466" s="365">
        <v>0.5</v>
      </c>
      <c r="O466" s="365">
        <v>0</v>
      </c>
      <c r="P466" s="369"/>
      <c r="Q466" s="366">
        <v>0.93189999999999995</v>
      </c>
      <c r="R466" s="367">
        <v>0</v>
      </c>
      <c r="S466" s="366">
        <v>0.93189999999999995</v>
      </c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8" x14ac:dyDescent="0.3">
      <c r="A467" s="1"/>
      <c r="B467" s="364">
        <v>4</v>
      </c>
      <c r="C467" s="68">
        <v>463</v>
      </c>
      <c r="D467" s="30">
        <v>82543</v>
      </c>
      <c r="E467" s="30" t="s">
        <v>501</v>
      </c>
      <c r="F467" s="30" t="s">
        <v>709</v>
      </c>
      <c r="G467" s="365">
        <v>1</v>
      </c>
      <c r="H467" s="365">
        <v>1</v>
      </c>
      <c r="I467" s="365">
        <v>1</v>
      </c>
      <c r="J467" s="365">
        <v>1</v>
      </c>
      <c r="K467" s="365">
        <v>1</v>
      </c>
      <c r="L467" s="365">
        <v>1</v>
      </c>
      <c r="M467" s="365">
        <v>1</v>
      </c>
      <c r="N467" s="365">
        <v>1</v>
      </c>
      <c r="O467" s="365">
        <v>1</v>
      </c>
      <c r="P467" s="369"/>
      <c r="Q467" s="366">
        <v>1</v>
      </c>
      <c r="R467" s="367">
        <v>0</v>
      </c>
      <c r="S467" s="366">
        <v>1</v>
      </c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8" x14ac:dyDescent="0.3">
      <c r="A468" s="1"/>
      <c r="B468" s="364">
        <v>5</v>
      </c>
      <c r="C468" s="68">
        <v>464</v>
      </c>
      <c r="D468" s="30">
        <v>82535</v>
      </c>
      <c r="E468" s="30" t="s">
        <v>502</v>
      </c>
      <c r="F468" s="30" t="s">
        <v>709</v>
      </c>
      <c r="G468" s="365">
        <v>0.98</v>
      </c>
      <c r="H468" s="365">
        <v>1</v>
      </c>
      <c r="I468" s="365">
        <v>1</v>
      </c>
      <c r="J468" s="365">
        <v>1</v>
      </c>
      <c r="K468" s="365">
        <v>1</v>
      </c>
      <c r="L468" s="365">
        <v>1</v>
      </c>
      <c r="M468" s="365">
        <v>1</v>
      </c>
      <c r="N468" s="365">
        <v>1</v>
      </c>
      <c r="O468" s="365">
        <v>0</v>
      </c>
      <c r="P468" s="369"/>
      <c r="Q468" s="366">
        <v>0.9768</v>
      </c>
      <c r="R468" s="367">
        <v>0</v>
      </c>
      <c r="S468" s="366">
        <v>0.9768</v>
      </c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8" x14ac:dyDescent="0.3">
      <c r="A469" s="1"/>
      <c r="B469" s="364">
        <v>6</v>
      </c>
      <c r="C469" s="68">
        <v>465</v>
      </c>
      <c r="D469" s="30">
        <v>82410</v>
      </c>
      <c r="E469" s="41" t="s">
        <v>503</v>
      </c>
      <c r="F469" s="30" t="s">
        <v>709</v>
      </c>
      <c r="G469" s="365">
        <v>0.96</v>
      </c>
      <c r="H469" s="365">
        <v>1</v>
      </c>
      <c r="I469" s="365">
        <v>1</v>
      </c>
      <c r="J469" s="365">
        <v>1</v>
      </c>
      <c r="K469" s="365">
        <v>1</v>
      </c>
      <c r="L469" s="365">
        <v>1</v>
      </c>
      <c r="M469" s="365">
        <v>1</v>
      </c>
      <c r="N469" s="365">
        <v>1</v>
      </c>
      <c r="O469" s="365">
        <v>0</v>
      </c>
      <c r="P469" s="369"/>
      <c r="Q469" s="366">
        <v>0.97470000000000001</v>
      </c>
      <c r="R469" s="367">
        <v>0</v>
      </c>
      <c r="S469" s="366">
        <v>0.97470000000000001</v>
      </c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8" x14ac:dyDescent="0.3">
      <c r="A470" s="1"/>
      <c r="B470" s="364">
        <v>7</v>
      </c>
      <c r="C470" s="68">
        <v>466</v>
      </c>
      <c r="D470" s="30">
        <v>82437</v>
      </c>
      <c r="E470" s="30" t="s">
        <v>504</v>
      </c>
      <c r="F470" s="30" t="s">
        <v>709</v>
      </c>
      <c r="G470" s="365">
        <v>0.98</v>
      </c>
      <c r="H470" s="365">
        <v>0.98</v>
      </c>
      <c r="I470" s="365">
        <v>1</v>
      </c>
      <c r="J470" s="365">
        <v>0.96899999999999997</v>
      </c>
      <c r="K470" s="365">
        <v>1</v>
      </c>
      <c r="L470" s="365">
        <v>1</v>
      </c>
      <c r="M470" s="365">
        <v>1</v>
      </c>
      <c r="N470" s="365">
        <v>0.5</v>
      </c>
      <c r="O470" s="365">
        <v>0</v>
      </c>
      <c r="P470" s="369"/>
      <c r="Q470" s="366">
        <v>0.9304</v>
      </c>
      <c r="R470" s="367">
        <v>0</v>
      </c>
      <c r="S470" s="366">
        <v>0.9304</v>
      </c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8" x14ac:dyDescent="0.3">
      <c r="A471" s="1"/>
      <c r="B471" s="364">
        <v>8</v>
      </c>
      <c r="C471" s="68">
        <v>467</v>
      </c>
      <c r="D471" s="30">
        <v>82417</v>
      </c>
      <c r="E471" s="30" t="s">
        <v>218</v>
      </c>
      <c r="F471" s="30" t="s">
        <v>710</v>
      </c>
      <c r="G471" s="365">
        <v>1</v>
      </c>
      <c r="H471" s="365">
        <v>1</v>
      </c>
      <c r="I471" s="365">
        <v>1</v>
      </c>
      <c r="J471" s="365">
        <v>1</v>
      </c>
      <c r="K471" s="365">
        <v>1</v>
      </c>
      <c r="L471" s="365">
        <v>1</v>
      </c>
      <c r="M471" s="365">
        <v>1</v>
      </c>
      <c r="N471" s="365">
        <v>1</v>
      </c>
      <c r="O471" s="365">
        <v>1</v>
      </c>
      <c r="P471" s="369"/>
      <c r="Q471" s="366">
        <v>1</v>
      </c>
      <c r="R471" s="367">
        <v>0</v>
      </c>
      <c r="S471" s="366">
        <v>1</v>
      </c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8" x14ac:dyDescent="0.3">
      <c r="A472" s="1"/>
      <c r="B472" s="364">
        <v>1</v>
      </c>
      <c r="C472" s="68">
        <v>468</v>
      </c>
      <c r="D472" s="30">
        <v>82403</v>
      </c>
      <c r="E472" s="30" t="s">
        <v>219</v>
      </c>
      <c r="F472" s="30" t="s">
        <v>710</v>
      </c>
      <c r="G472" s="365">
        <v>1</v>
      </c>
      <c r="H472" s="365">
        <v>1</v>
      </c>
      <c r="I472" s="365">
        <v>1</v>
      </c>
      <c r="J472" s="365">
        <v>1</v>
      </c>
      <c r="K472" s="365">
        <v>1</v>
      </c>
      <c r="L472" s="365">
        <v>1</v>
      </c>
      <c r="M472" s="365">
        <v>1</v>
      </c>
      <c r="N472" s="365">
        <v>1</v>
      </c>
      <c r="O472" s="365">
        <v>1</v>
      </c>
      <c r="P472" s="369"/>
      <c r="Q472" s="366">
        <v>1</v>
      </c>
      <c r="R472" s="367">
        <v>0</v>
      </c>
      <c r="S472" s="366">
        <v>1</v>
      </c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8" x14ac:dyDescent="0.3">
      <c r="A473" s="1"/>
      <c r="B473" s="364">
        <v>2</v>
      </c>
      <c r="C473" s="68">
        <v>469</v>
      </c>
      <c r="D473" s="30">
        <v>82664</v>
      </c>
      <c r="E473" s="30" t="s">
        <v>220</v>
      </c>
      <c r="F473" s="30" t="s">
        <v>710</v>
      </c>
      <c r="G473" s="365">
        <v>1</v>
      </c>
      <c r="H473" s="365">
        <v>1</v>
      </c>
      <c r="I473" s="365">
        <v>1</v>
      </c>
      <c r="J473" s="365">
        <v>0.94259999999999999</v>
      </c>
      <c r="K473" s="365">
        <v>1</v>
      </c>
      <c r="L473" s="365">
        <v>0.99229999999999996</v>
      </c>
      <c r="M473" s="365">
        <v>1</v>
      </c>
      <c r="N473" s="365">
        <v>0.5</v>
      </c>
      <c r="O473" s="365">
        <v>0</v>
      </c>
      <c r="P473" s="369"/>
      <c r="Q473" s="366">
        <v>0.93</v>
      </c>
      <c r="R473" s="367">
        <v>0</v>
      </c>
      <c r="S473" s="366">
        <v>0.93</v>
      </c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8" x14ac:dyDescent="0.3">
      <c r="A474" s="1"/>
      <c r="B474" s="364">
        <v>4</v>
      </c>
      <c r="C474" s="68">
        <v>470</v>
      </c>
      <c r="D474" s="30">
        <v>82412</v>
      </c>
      <c r="E474" s="30" t="s">
        <v>221</v>
      </c>
      <c r="F474" s="30" t="s">
        <v>710</v>
      </c>
      <c r="G474" s="365">
        <v>1</v>
      </c>
      <c r="H474" s="365">
        <v>1</v>
      </c>
      <c r="I474" s="365">
        <v>1</v>
      </c>
      <c r="J474" s="365">
        <v>1</v>
      </c>
      <c r="K474" s="365">
        <v>1</v>
      </c>
      <c r="L474" s="365">
        <v>1</v>
      </c>
      <c r="M474" s="365">
        <v>1</v>
      </c>
      <c r="N474" s="365">
        <v>1</v>
      </c>
      <c r="O474" s="365">
        <v>0</v>
      </c>
      <c r="P474" s="369"/>
      <c r="Q474" s="366">
        <v>0.97889999999999999</v>
      </c>
      <c r="R474" s="367">
        <v>0</v>
      </c>
      <c r="S474" s="366">
        <v>0.97889999999999999</v>
      </c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8" x14ac:dyDescent="0.3">
      <c r="A475" s="1"/>
      <c r="B475" s="364">
        <v>5</v>
      </c>
      <c r="C475" s="68">
        <v>471</v>
      </c>
      <c r="D475" s="30">
        <v>82413</v>
      </c>
      <c r="E475" s="30" t="s">
        <v>222</v>
      </c>
      <c r="F475" s="30" t="s">
        <v>710</v>
      </c>
      <c r="G475" s="365">
        <v>1</v>
      </c>
      <c r="H475" s="365">
        <v>1</v>
      </c>
      <c r="I475" s="365">
        <v>1</v>
      </c>
      <c r="J475" s="365">
        <v>1</v>
      </c>
      <c r="K475" s="365">
        <v>1</v>
      </c>
      <c r="L475" s="365">
        <v>1</v>
      </c>
      <c r="M475" s="365">
        <v>1</v>
      </c>
      <c r="N475" s="365">
        <v>1</v>
      </c>
      <c r="O475" s="365">
        <v>0</v>
      </c>
      <c r="P475" s="369"/>
      <c r="Q475" s="366">
        <v>0.97889999999999999</v>
      </c>
      <c r="R475" s="367">
        <v>0</v>
      </c>
      <c r="S475" s="366">
        <v>0.97889999999999999</v>
      </c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8" x14ac:dyDescent="0.3">
      <c r="A476" s="1"/>
      <c r="B476" s="364">
        <v>7</v>
      </c>
      <c r="C476" s="68">
        <v>472</v>
      </c>
      <c r="D476" s="30">
        <v>82444</v>
      </c>
      <c r="E476" s="30" t="s">
        <v>223</v>
      </c>
      <c r="F476" s="30" t="s">
        <v>710</v>
      </c>
      <c r="G476" s="365">
        <v>1</v>
      </c>
      <c r="H476" s="365">
        <v>1</v>
      </c>
      <c r="I476" s="365">
        <v>1</v>
      </c>
      <c r="J476" s="365">
        <v>1</v>
      </c>
      <c r="K476" s="365">
        <v>1</v>
      </c>
      <c r="L476" s="365">
        <v>1</v>
      </c>
      <c r="M476" s="365">
        <v>1</v>
      </c>
      <c r="N476" s="365">
        <v>1</v>
      </c>
      <c r="O476" s="365">
        <v>0</v>
      </c>
      <c r="P476" s="369"/>
      <c r="Q476" s="366">
        <v>0.97889999999999999</v>
      </c>
      <c r="R476" s="367">
        <v>0</v>
      </c>
      <c r="S476" s="366">
        <v>0.97889999999999999</v>
      </c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8" x14ac:dyDescent="0.3">
      <c r="A477" s="1"/>
      <c r="B477" s="364">
        <v>1</v>
      </c>
      <c r="C477" s="68">
        <v>473</v>
      </c>
      <c r="D477" s="30">
        <v>82537</v>
      </c>
      <c r="E477" s="30" t="s">
        <v>136</v>
      </c>
      <c r="F477" s="30" t="s">
        <v>711</v>
      </c>
      <c r="G477" s="365">
        <v>1</v>
      </c>
      <c r="H477" s="365">
        <v>1</v>
      </c>
      <c r="I477" s="365">
        <v>1</v>
      </c>
      <c r="J477" s="365">
        <v>0.9728</v>
      </c>
      <c r="K477" s="365">
        <v>1</v>
      </c>
      <c r="L477" s="365">
        <v>1</v>
      </c>
      <c r="M477" s="365">
        <v>1</v>
      </c>
      <c r="N477" s="365">
        <v>1</v>
      </c>
      <c r="O477" s="365">
        <v>0</v>
      </c>
      <c r="P477" s="369"/>
      <c r="Q477" s="366">
        <v>0.97609999999999997</v>
      </c>
      <c r="R477" s="367">
        <v>0</v>
      </c>
      <c r="S477" s="366">
        <v>0.97609999999999997</v>
      </c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8" x14ac:dyDescent="0.3">
      <c r="A478" s="1"/>
      <c r="B478" s="364">
        <v>2</v>
      </c>
      <c r="C478" s="68">
        <v>474</v>
      </c>
      <c r="D478" s="30">
        <v>82583</v>
      </c>
      <c r="E478" s="30" t="s">
        <v>137</v>
      </c>
      <c r="F478" s="30" t="s">
        <v>711</v>
      </c>
      <c r="G478" s="365">
        <v>0.96</v>
      </c>
      <c r="H478" s="365">
        <v>1</v>
      </c>
      <c r="I478" s="365">
        <v>1</v>
      </c>
      <c r="J478" s="365">
        <v>1</v>
      </c>
      <c r="K478" s="365">
        <v>1</v>
      </c>
      <c r="L478" s="365">
        <v>1</v>
      </c>
      <c r="M478" s="365">
        <v>1</v>
      </c>
      <c r="N478" s="365">
        <v>1</v>
      </c>
      <c r="O478" s="365">
        <v>0</v>
      </c>
      <c r="P478" s="369"/>
      <c r="Q478" s="366">
        <v>0.97470000000000001</v>
      </c>
      <c r="R478" s="367">
        <v>0</v>
      </c>
      <c r="S478" s="366">
        <v>0.97470000000000001</v>
      </c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8" x14ac:dyDescent="0.3">
      <c r="A479" s="1"/>
      <c r="B479" s="364">
        <v>3</v>
      </c>
      <c r="C479" s="68">
        <v>475</v>
      </c>
      <c r="D479" s="30">
        <v>82632</v>
      </c>
      <c r="E479" s="30" t="s">
        <v>138</v>
      </c>
      <c r="F479" s="30" t="s">
        <v>711</v>
      </c>
      <c r="G479" s="365">
        <v>0.98</v>
      </c>
      <c r="H479" s="365">
        <v>0.98</v>
      </c>
      <c r="I479" s="365">
        <v>1</v>
      </c>
      <c r="J479" s="365">
        <v>1</v>
      </c>
      <c r="K479" s="365">
        <v>1</v>
      </c>
      <c r="L479" s="365">
        <v>0.99809999999999999</v>
      </c>
      <c r="M479" s="365">
        <v>1</v>
      </c>
      <c r="N479" s="365">
        <v>0.5</v>
      </c>
      <c r="O479" s="365">
        <v>0</v>
      </c>
      <c r="P479" s="369"/>
      <c r="Q479" s="366">
        <v>0.9335</v>
      </c>
      <c r="R479" s="367">
        <v>0</v>
      </c>
      <c r="S479" s="366">
        <v>0.9335</v>
      </c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8" x14ac:dyDescent="0.3">
      <c r="A480" s="1"/>
      <c r="B480" s="364">
        <v>4</v>
      </c>
      <c r="C480" s="68">
        <v>476</v>
      </c>
      <c r="D480" s="30">
        <v>82670</v>
      </c>
      <c r="E480" s="30" t="s">
        <v>139</v>
      </c>
      <c r="F480" s="30" t="s">
        <v>711</v>
      </c>
      <c r="G480" s="365">
        <v>0.94</v>
      </c>
      <c r="H480" s="365">
        <v>1</v>
      </c>
      <c r="I480" s="365">
        <v>1</v>
      </c>
      <c r="J480" s="365">
        <v>0.99829999999999997</v>
      </c>
      <c r="K480" s="365">
        <v>1</v>
      </c>
      <c r="L480" s="365">
        <v>1</v>
      </c>
      <c r="M480" s="365">
        <v>1</v>
      </c>
      <c r="N480" s="365">
        <v>1</v>
      </c>
      <c r="O480" s="365">
        <v>0</v>
      </c>
      <c r="P480" s="369"/>
      <c r="Q480" s="366">
        <v>0.97240000000000004</v>
      </c>
      <c r="R480" s="367">
        <v>0</v>
      </c>
      <c r="S480" s="366">
        <v>0.97240000000000004</v>
      </c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8" x14ac:dyDescent="0.3">
      <c r="A481" s="1"/>
      <c r="B481" s="364">
        <v>5</v>
      </c>
      <c r="C481" s="68">
        <v>477</v>
      </c>
      <c r="D481" s="30">
        <v>82633</v>
      </c>
      <c r="E481" s="30" t="s">
        <v>140</v>
      </c>
      <c r="F481" s="30" t="s">
        <v>711</v>
      </c>
      <c r="G481" s="365">
        <v>0.98</v>
      </c>
      <c r="H481" s="365">
        <v>1</v>
      </c>
      <c r="I481" s="365">
        <v>1</v>
      </c>
      <c r="J481" s="365">
        <v>0.91910000000000003</v>
      </c>
      <c r="K481" s="365">
        <v>1</v>
      </c>
      <c r="L481" s="365">
        <v>0.99809999999999999</v>
      </c>
      <c r="M481" s="365">
        <v>1</v>
      </c>
      <c r="N481" s="365">
        <v>0.5</v>
      </c>
      <c r="O481" s="365">
        <v>1</v>
      </c>
      <c r="P481" s="369"/>
      <c r="Q481" s="366">
        <v>0.94710000000000005</v>
      </c>
      <c r="R481" s="367">
        <v>0</v>
      </c>
      <c r="S481" s="366">
        <v>0.94710000000000005</v>
      </c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8" x14ac:dyDescent="0.3">
      <c r="A482" s="1"/>
      <c r="B482" s="364">
        <v>6</v>
      </c>
      <c r="C482" s="68">
        <v>478</v>
      </c>
      <c r="D482" s="30">
        <v>82399</v>
      </c>
      <c r="E482" s="30" t="s">
        <v>141</v>
      </c>
      <c r="F482" s="30" t="s">
        <v>711</v>
      </c>
      <c r="G482" s="365">
        <v>1</v>
      </c>
      <c r="H482" s="365">
        <v>1</v>
      </c>
      <c r="I482" s="365">
        <v>1</v>
      </c>
      <c r="J482" s="365">
        <v>0.95279999999999998</v>
      </c>
      <c r="K482" s="365">
        <v>1</v>
      </c>
      <c r="L482" s="365">
        <v>1</v>
      </c>
      <c r="M482" s="365">
        <v>1</v>
      </c>
      <c r="N482" s="365">
        <v>1</v>
      </c>
      <c r="O482" s="365">
        <v>1</v>
      </c>
      <c r="P482" s="369"/>
      <c r="Q482" s="366">
        <v>0.995</v>
      </c>
      <c r="R482" s="367">
        <v>0</v>
      </c>
      <c r="S482" s="366">
        <v>0.995</v>
      </c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8" x14ac:dyDescent="0.3">
      <c r="A483" s="1"/>
      <c r="B483" s="364">
        <v>7</v>
      </c>
      <c r="C483" s="68">
        <v>479</v>
      </c>
      <c r="D483" s="30">
        <v>82581</v>
      </c>
      <c r="E483" s="30" t="s">
        <v>292</v>
      </c>
      <c r="F483" s="30" t="s">
        <v>712</v>
      </c>
      <c r="G483" s="365">
        <v>1</v>
      </c>
      <c r="H483" s="365">
        <v>1</v>
      </c>
      <c r="I483" s="365">
        <v>1</v>
      </c>
      <c r="J483" s="365">
        <v>1</v>
      </c>
      <c r="K483" s="365">
        <v>1</v>
      </c>
      <c r="L483" s="365">
        <v>1</v>
      </c>
      <c r="M483" s="365">
        <v>1</v>
      </c>
      <c r="N483" s="365">
        <v>1</v>
      </c>
      <c r="O483" s="365">
        <v>0</v>
      </c>
      <c r="P483" s="369"/>
      <c r="Q483" s="366">
        <v>0.97889999999999999</v>
      </c>
      <c r="R483" s="367">
        <v>0</v>
      </c>
      <c r="S483" s="366">
        <v>0.97889999999999999</v>
      </c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8" x14ac:dyDescent="0.3">
      <c r="A484" s="1"/>
      <c r="B484" s="364">
        <v>2</v>
      </c>
      <c r="C484" s="68">
        <v>480</v>
      </c>
      <c r="D484" s="30">
        <v>82673</v>
      </c>
      <c r="E484" s="30" t="s">
        <v>293</v>
      </c>
      <c r="F484" s="30" t="s">
        <v>712</v>
      </c>
      <c r="G484" s="365">
        <v>1</v>
      </c>
      <c r="H484" s="365">
        <v>1</v>
      </c>
      <c r="I484" s="365">
        <v>1</v>
      </c>
      <c r="J484" s="365">
        <v>1</v>
      </c>
      <c r="K484" s="365">
        <v>1</v>
      </c>
      <c r="L484" s="365">
        <v>0.98719999999999997</v>
      </c>
      <c r="M484" s="365">
        <v>1</v>
      </c>
      <c r="N484" s="365">
        <v>1</v>
      </c>
      <c r="O484" s="365">
        <v>1</v>
      </c>
      <c r="P484" s="369"/>
      <c r="Q484" s="366">
        <v>0.99870000000000003</v>
      </c>
      <c r="R484" s="367">
        <v>0</v>
      </c>
      <c r="S484" s="366">
        <v>0.99870000000000003</v>
      </c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8" x14ac:dyDescent="0.3">
      <c r="A485" s="1"/>
      <c r="B485" s="364">
        <v>3</v>
      </c>
      <c r="C485" s="68">
        <v>481</v>
      </c>
      <c r="D485" s="30">
        <v>83282</v>
      </c>
      <c r="E485" s="30" t="s">
        <v>294</v>
      </c>
      <c r="F485" s="30" t="s">
        <v>712</v>
      </c>
      <c r="G485" s="365">
        <v>1</v>
      </c>
      <c r="H485" s="365">
        <v>1</v>
      </c>
      <c r="I485" s="365">
        <v>1</v>
      </c>
      <c r="J485" s="365">
        <v>1</v>
      </c>
      <c r="K485" s="365">
        <v>1</v>
      </c>
      <c r="L485" s="365">
        <v>1</v>
      </c>
      <c r="M485" s="365">
        <v>1</v>
      </c>
      <c r="N485" s="365">
        <v>1</v>
      </c>
      <c r="O485" s="365">
        <v>1</v>
      </c>
      <c r="P485" s="369"/>
      <c r="Q485" s="366">
        <v>1</v>
      </c>
      <c r="R485" s="367">
        <v>0</v>
      </c>
      <c r="S485" s="366">
        <v>1</v>
      </c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8" x14ac:dyDescent="0.3">
      <c r="A486" s="1"/>
      <c r="B486" s="364">
        <v>5</v>
      </c>
      <c r="C486" s="68">
        <v>482</v>
      </c>
      <c r="D486" s="30">
        <v>82404</v>
      </c>
      <c r="E486" s="41" t="s">
        <v>295</v>
      </c>
      <c r="F486" s="30" t="s">
        <v>712</v>
      </c>
      <c r="G486" s="365">
        <v>0.98</v>
      </c>
      <c r="H486" s="365">
        <v>1</v>
      </c>
      <c r="I486" s="365">
        <v>1</v>
      </c>
      <c r="J486" s="365">
        <v>1</v>
      </c>
      <c r="K486" s="365">
        <v>1</v>
      </c>
      <c r="L486" s="365">
        <v>1</v>
      </c>
      <c r="M486" s="365">
        <v>1</v>
      </c>
      <c r="N486" s="365">
        <v>1</v>
      </c>
      <c r="O486" s="365">
        <v>1</v>
      </c>
      <c r="P486" s="369"/>
      <c r="Q486" s="366">
        <v>0.99790000000000001</v>
      </c>
      <c r="R486" s="367">
        <v>0</v>
      </c>
      <c r="S486" s="366">
        <v>0.99790000000000001</v>
      </c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8" x14ac:dyDescent="0.3">
      <c r="A487" s="1"/>
      <c r="B487" s="364">
        <v>6</v>
      </c>
      <c r="C487" s="68">
        <v>483</v>
      </c>
      <c r="D487" s="30">
        <v>82562</v>
      </c>
      <c r="E487" s="30" t="s">
        <v>296</v>
      </c>
      <c r="F487" s="30" t="s">
        <v>712</v>
      </c>
      <c r="G487" s="365">
        <v>1</v>
      </c>
      <c r="H487" s="365">
        <v>1</v>
      </c>
      <c r="I487" s="365">
        <v>1</v>
      </c>
      <c r="J487" s="365">
        <v>1</v>
      </c>
      <c r="K487" s="365">
        <v>1</v>
      </c>
      <c r="L487" s="365">
        <v>1</v>
      </c>
      <c r="M487" s="365">
        <v>1</v>
      </c>
      <c r="N487" s="365">
        <v>1</v>
      </c>
      <c r="O487" s="365">
        <v>0</v>
      </c>
      <c r="P487" s="369"/>
      <c r="Q487" s="366">
        <v>0.97889999999999999</v>
      </c>
      <c r="R487" s="367">
        <v>0</v>
      </c>
      <c r="S487" s="366">
        <v>0.97889999999999999</v>
      </c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8" x14ac:dyDescent="0.3">
      <c r="A488" s="1"/>
      <c r="B488" s="364">
        <v>7</v>
      </c>
      <c r="C488" s="68">
        <v>484</v>
      </c>
      <c r="D488" s="30">
        <v>82419</v>
      </c>
      <c r="E488" s="30" t="s">
        <v>297</v>
      </c>
      <c r="F488" s="30" t="s">
        <v>712</v>
      </c>
      <c r="G488" s="365">
        <v>0.98</v>
      </c>
      <c r="H488" s="365">
        <v>1</v>
      </c>
      <c r="I488" s="365">
        <v>1</v>
      </c>
      <c r="J488" s="365">
        <v>1</v>
      </c>
      <c r="K488" s="365">
        <v>1</v>
      </c>
      <c r="L488" s="365">
        <v>0.99809999999999999</v>
      </c>
      <c r="M488" s="365">
        <v>1</v>
      </c>
      <c r="N488" s="365">
        <v>1</v>
      </c>
      <c r="O488" s="365">
        <v>0</v>
      </c>
      <c r="P488" s="369"/>
      <c r="Q488" s="366">
        <v>0.97660000000000002</v>
      </c>
      <c r="R488" s="367">
        <v>0</v>
      </c>
      <c r="S488" s="366">
        <v>0.97660000000000002</v>
      </c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8" x14ac:dyDescent="0.3">
      <c r="A489" s="1"/>
      <c r="B489" s="364">
        <v>8</v>
      </c>
      <c r="C489" s="68">
        <v>485</v>
      </c>
      <c r="D489" s="30">
        <v>82536</v>
      </c>
      <c r="E489" s="30" t="s">
        <v>298</v>
      </c>
      <c r="F489" s="30" t="s">
        <v>712</v>
      </c>
      <c r="G489" s="365">
        <v>0.98</v>
      </c>
      <c r="H489" s="365">
        <v>1</v>
      </c>
      <c r="I489" s="365">
        <v>1</v>
      </c>
      <c r="J489" s="365">
        <v>1</v>
      </c>
      <c r="K489" s="365">
        <v>1</v>
      </c>
      <c r="L489" s="365">
        <v>1</v>
      </c>
      <c r="M489" s="365">
        <v>1</v>
      </c>
      <c r="N489" s="365">
        <v>1</v>
      </c>
      <c r="O489" s="365">
        <v>0</v>
      </c>
      <c r="P489" s="369"/>
      <c r="Q489" s="366">
        <v>0.9768</v>
      </c>
      <c r="R489" s="367">
        <v>0</v>
      </c>
      <c r="S489" s="366">
        <v>0.9768</v>
      </c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8" x14ac:dyDescent="0.3">
      <c r="A490" s="1"/>
      <c r="B490" s="364">
        <v>1</v>
      </c>
      <c r="C490" s="68">
        <v>486</v>
      </c>
      <c r="D490" s="30">
        <v>82721</v>
      </c>
      <c r="E490" s="30" t="s">
        <v>26</v>
      </c>
      <c r="F490" s="30" t="s">
        <v>668</v>
      </c>
      <c r="G490" s="365">
        <v>1</v>
      </c>
      <c r="H490" s="365">
        <v>0.98</v>
      </c>
      <c r="I490" s="365">
        <v>1</v>
      </c>
      <c r="J490" s="365">
        <v>1</v>
      </c>
      <c r="K490" s="365">
        <v>1</v>
      </c>
      <c r="L490" s="365">
        <v>1</v>
      </c>
      <c r="M490" s="365">
        <v>1</v>
      </c>
      <c r="N490" s="365">
        <v>1</v>
      </c>
      <c r="O490" s="365">
        <v>1</v>
      </c>
      <c r="P490" s="369"/>
      <c r="Q490" s="366">
        <v>0.99890000000000001</v>
      </c>
      <c r="R490" s="367">
        <v>0</v>
      </c>
      <c r="S490" s="366">
        <v>0.99890000000000001</v>
      </c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8" x14ac:dyDescent="0.3">
      <c r="A491" s="1"/>
      <c r="B491" s="364">
        <v>2</v>
      </c>
      <c r="C491" s="68">
        <v>487</v>
      </c>
      <c r="D491" s="30">
        <v>82405</v>
      </c>
      <c r="E491" s="30" t="s">
        <v>388</v>
      </c>
      <c r="F491" s="30" t="s">
        <v>660</v>
      </c>
      <c r="G491" s="365">
        <v>1</v>
      </c>
      <c r="H491" s="365">
        <v>1</v>
      </c>
      <c r="I491" s="365">
        <v>1</v>
      </c>
      <c r="J491" s="365">
        <v>1</v>
      </c>
      <c r="K491" s="365">
        <v>1</v>
      </c>
      <c r="L491" s="365">
        <v>1</v>
      </c>
      <c r="M491" s="365">
        <v>1</v>
      </c>
      <c r="N491" s="365">
        <v>1</v>
      </c>
      <c r="O491" s="365">
        <v>0</v>
      </c>
      <c r="P491" s="369"/>
      <c r="Q491" s="366">
        <v>0.97889999999999999</v>
      </c>
      <c r="R491" s="367">
        <v>0</v>
      </c>
      <c r="S491" s="366">
        <v>0.97889999999999999</v>
      </c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36" x14ac:dyDescent="0.3">
      <c r="A492" s="1"/>
      <c r="B492" s="364">
        <v>3</v>
      </c>
      <c r="C492" s="68">
        <v>488</v>
      </c>
      <c r="D492" s="30">
        <v>82586</v>
      </c>
      <c r="E492" s="33" t="s">
        <v>533</v>
      </c>
      <c r="F492" s="30" t="s">
        <v>672</v>
      </c>
      <c r="G492" s="365">
        <v>0.98</v>
      </c>
      <c r="H492" s="365">
        <v>0.97</v>
      </c>
      <c r="I492" s="365">
        <v>1</v>
      </c>
      <c r="J492" s="365">
        <v>0.93459999999999999</v>
      </c>
      <c r="K492" s="365">
        <v>1</v>
      </c>
      <c r="L492" s="365">
        <v>0.99229999999999996</v>
      </c>
      <c r="M492" s="365">
        <v>1</v>
      </c>
      <c r="N492" s="365">
        <v>1</v>
      </c>
      <c r="O492" s="365">
        <v>1</v>
      </c>
      <c r="P492" s="369"/>
      <c r="Q492" s="366">
        <v>0.98860000000000003</v>
      </c>
      <c r="R492" s="367">
        <v>0</v>
      </c>
      <c r="S492" s="366">
        <v>0.98860000000000003</v>
      </c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8" x14ac:dyDescent="0.3">
      <c r="A493" s="1"/>
      <c r="B493" s="364">
        <v>5</v>
      </c>
      <c r="C493" s="68">
        <v>489</v>
      </c>
      <c r="D493" s="30">
        <v>82748</v>
      </c>
      <c r="E493" s="33" t="s">
        <v>235</v>
      </c>
      <c r="F493" s="30" t="s">
        <v>650</v>
      </c>
      <c r="G493" s="365">
        <v>1</v>
      </c>
      <c r="H493" s="365">
        <v>1</v>
      </c>
      <c r="I493" s="365">
        <v>1</v>
      </c>
      <c r="J493" s="365">
        <v>1</v>
      </c>
      <c r="K493" s="365">
        <v>1</v>
      </c>
      <c r="L493" s="365">
        <v>1</v>
      </c>
      <c r="M493" s="365">
        <v>1</v>
      </c>
      <c r="N493" s="365">
        <v>1</v>
      </c>
      <c r="O493" s="365">
        <v>1</v>
      </c>
      <c r="P493" s="369"/>
      <c r="Q493" s="366">
        <v>1</v>
      </c>
      <c r="R493" s="367">
        <v>0</v>
      </c>
      <c r="S493" s="366">
        <v>1</v>
      </c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8" x14ac:dyDescent="0.3">
      <c r="A494" s="1"/>
      <c r="B494" s="364">
        <v>6</v>
      </c>
      <c r="C494" s="68">
        <v>490</v>
      </c>
      <c r="D494" s="30">
        <v>82395</v>
      </c>
      <c r="E494" s="33" t="s">
        <v>177</v>
      </c>
      <c r="F494" s="30" t="s">
        <v>622</v>
      </c>
      <c r="G494" s="365">
        <v>1</v>
      </c>
      <c r="H494" s="365">
        <v>1</v>
      </c>
      <c r="I494" s="365">
        <v>1</v>
      </c>
      <c r="J494" s="365">
        <v>1</v>
      </c>
      <c r="K494" s="365">
        <v>1</v>
      </c>
      <c r="L494" s="365">
        <v>1</v>
      </c>
      <c r="M494" s="365">
        <v>1</v>
      </c>
      <c r="N494" s="365">
        <v>1</v>
      </c>
      <c r="O494" s="365">
        <v>0</v>
      </c>
      <c r="P494" s="369"/>
      <c r="Q494" s="366">
        <v>0.97889999999999999</v>
      </c>
      <c r="R494" s="367">
        <v>0</v>
      </c>
      <c r="S494" s="366">
        <v>0.97889999999999999</v>
      </c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8" x14ac:dyDescent="0.3">
      <c r="A495" s="1"/>
      <c r="B495" s="364">
        <v>7</v>
      </c>
      <c r="C495" s="68">
        <v>491</v>
      </c>
      <c r="D495" s="30">
        <v>82631</v>
      </c>
      <c r="E495" s="33" t="s">
        <v>311</v>
      </c>
      <c r="F495" s="30" t="s">
        <v>686</v>
      </c>
      <c r="G495" s="365">
        <v>1</v>
      </c>
      <c r="H495" s="365">
        <v>1</v>
      </c>
      <c r="I495" s="365">
        <v>1</v>
      </c>
      <c r="J495" s="365">
        <v>1</v>
      </c>
      <c r="K495" s="365">
        <v>1</v>
      </c>
      <c r="L495" s="365">
        <v>1</v>
      </c>
      <c r="M495" s="365">
        <v>1</v>
      </c>
      <c r="N495" s="365">
        <v>1</v>
      </c>
      <c r="O495" s="365">
        <v>0</v>
      </c>
      <c r="P495" s="369"/>
      <c r="Q495" s="366">
        <v>0.97889999999999999</v>
      </c>
      <c r="R495" s="367">
        <v>0</v>
      </c>
      <c r="S495" s="366">
        <v>0.97889999999999999</v>
      </c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8" x14ac:dyDescent="0.3">
      <c r="A496" s="1"/>
      <c r="B496" s="364">
        <v>1</v>
      </c>
      <c r="C496" s="68">
        <v>492</v>
      </c>
      <c r="D496" s="30">
        <v>82477</v>
      </c>
      <c r="E496" s="33" t="s">
        <v>516</v>
      </c>
      <c r="F496" s="30" t="s">
        <v>693</v>
      </c>
      <c r="G496" s="365">
        <v>1</v>
      </c>
      <c r="H496" s="365">
        <v>1</v>
      </c>
      <c r="I496" s="365">
        <v>1</v>
      </c>
      <c r="J496" s="365">
        <v>1</v>
      </c>
      <c r="K496" s="365">
        <v>1</v>
      </c>
      <c r="L496" s="365">
        <v>0.99809999999999999</v>
      </c>
      <c r="M496" s="365">
        <v>1</v>
      </c>
      <c r="N496" s="365">
        <v>1</v>
      </c>
      <c r="O496" s="365">
        <v>0</v>
      </c>
      <c r="P496" s="369"/>
      <c r="Q496" s="366">
        <v>0.97870000000000001</v>
      </c>
      <c r="R496" s="367">
        <v>0</v>
      </c>
      <c r="S496" s="366">
        <v>0.97870000000000001</v>
      </c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8" x14ac:dyDescent="0.3">
      <c r="A497" s="1"/>
      <c r="B497" s="364">
        <v>2</v>
      </c>
      <c r="C497" s="68">
        <v>493</v>
      </c>
      <c r="D497" s="41">
        <v>82435</v>
      </c>
      <c r="E497" s="33" t="s">
        <v>127</v>
      </c>
      <c r="F497" s="30" t="s">
        <v>646</v>
      </c>
      <c r="G497" s="365">
        <v>1</v>
      </c>
      <c r="H497" s="365">
        <v>1</v>
      </c>
      <c r="I497" s="365">
        <v>1</v>
      </c>
      <c r="J497" s="365">
        <v>1</v>
      </c>
      <c r="K497" s="365">
        <v>1</v>
      </c>
      <c r="L497" s="365">
        <v>0.99229999999999996</v>
      </c>
      <c r="M497" s="365">
        <v>1</v>
      </c>
      <c r="N497" s="365">
        <v>1</v>
      </c>
      <c r="O497" s="365">
        <v>1</v>
      </c>
      <c r="P497" s="369"/>
      <c r="Q497" s="366">
        <v>0.99919999999999998</v>
      </c>
      <c r="R497" s="367">
        <v>0</v>
      </c>
      <c r="S497" s="366">
        <v>0.99919999999999998</v>
      </c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8" x14ac:dyDescent="0.3">
      <c r="A498" s="1"/>
      <c r="B498" s="364">
        <v>3</v>
      </c>
      <c r="C498" s="68">
        <v>494</v>
      </c>
      <c r="D498" s="30">
        <v>82415</v>
      </c>
      <c r="E498" s="33" t="s">
        <v>149</v>
      </c>
      <c r="F498" s="30" t="s">
        <v>637</v>
      </c>
      <c r="G498" s="365">
        <v>0.98</v>
      </c>
      <c r="H498" s="365">
        <v>1</v>
      </c>
      <c r="I498" s="365">
        <v>1</v>
      </c>
      <c r="J498" s="365">
        <v>1</v>
      </c>
      <c r="K498" s="365">
        <v>1</v>
      </c>
      <c r="L498" s="365">
        <v>0.98460000000000003</v>
      </c>
      <c r="M498" s="365">
        <v>1</v>
      </c>
      <c r="N498" s="365">
        <v>1</v>
      </c>
      <c r="O498" s="365">
        <v>0</v>
      </c>
      <c r="P498" s="369"/>
      <c r="Q498" s="366">
        <v>0.97519999999999996</v>
      </c>
      <c r="R498" s="367">
        <v>0</v>
      </c>
      <c r="S498" s="366">
        <v>0.97519999999999996</v>
      </c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8" x14ac:dyDescent="0.3">
      <c r="A499" s="1"/>
      <c r="B499" s="364">
        <v>4</v>
      </c>
      <c r="C499" s="68">
        <v>495</v>
      </c>
      <c r="D499" s="30">
        <v>82699</v>
      </c>
      <c r="E499" s="33" t="s">
        <v>395</v>
      </c>
      <c r="F499" s="30" t="s">
        <v>689</v>
      </c>
      <c r="G499" s="365">
        <v>1</v>
      </c>
      <c r="H499" s="365">
        <v>1</v>
      </c>
      <c r="I499" s="365">
        <v>1</v>
      </c>
      <c r="J499" s="365">
        <v>1</v>
      </c>
      <c r="K499" s="365">
        <v>1</v>
      </c>
      <c r="L499" s="365">
        <v>0.85450000000000004</v>
      </c>
      <c r="M499" s="365">
        <v>1</v>
      </c>
      <c r="N499" s="365">
        <v>1</v>
      </c>
      <c r="O499" s="365">
        <v>0</v>
      </c>
      <c r="P499" s="369"/>
      <c r="Q499" s="366">
        <v>0.96360000000000001</v>
      </c>
      <c r="R499" s="367">
        <v>0</v>
      </c>
      <c r="S499" s="366">
        <v>0.96360000000000001</v>
      </c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8" x14ac:dyDescent="0.3">
      <c r="A500" s="1"/>
      <c r="B500" s="364">
        <v>5</v>
      </c>
      <c r="C500" s="68">
        <v>496</v>
      </c>
      <c r="D500" s="30">
        <v>82414</v>
      </c>
      <c r="E500" s="33" t="s">
        <v>445</v>
      </c>
      <c r="F500" s="30" t="s">
        <v>651</v>
      </c>
      <c r="G500" s="365">
        <v>1</v>
      </c>
      <c r="H500" s="365">
        <v>1</v>
      </c>
      <c r="I500" s="365">
        <v>1</v>
      </c>
      <c r="J500" s="365">
        <v>1</v>
      </c>
      <c r="K500" s="365">
        <v>1</v>
      </c>
      <c r="L500" s="365">
        <v>0.99619999999999997</v>
      </c>
      <c r="M500" s="365">
        <v>1</v>
      </c>
      <c r="N500" s="365">
        <v>1</v>
      </c>
      <c r="O500" s="365">
        <v>0</v>
      </c>
      <c r="P500" s="369"/>
      <c r="Q500" s="366">
        <v>0.97850000000000004</v>
      </c>
      <c r="R500" s="367">
        <v>0</v>
      </c>
      <c r="S500" s="366">
        <v>0.97850000000000004</v>
      </c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8" x14ac:dyDescent="0.3">
      <c r="A501" s="1"/>
      <c r="B501" s="364">
        <v>6</v>
      </c>
      <c r="C501" s="68">
        <v>497</v>
      </c>
      <c r="D501" s="30">
        <v>82416</v>
      </c>
      <c r="E501" s="33" t="s">
        <v>541</v>
      </c>
      <c r="F501" s="30" t="s">
        <v>687</v>
      </c>
      <c r="G501" s="365">
        <v>1</v>
      </c>
      <c r="H501" s="365">
        <v>1</v>
      </c>
      <c r="I501" s="365">
        <v>1</v>
      </c>
      <c r="J501" s="365">
        <v>1</v>
      </c>
      <c r="K501" s="365">
        <v>1</v>
      </c>
      <c r="L501" s="365">
        <v>1</v>
      </c>
      <c r="M501" s="365">
        <v>1</v>
      </c>
      <c r="N501" s="365">
        <v>1</v>
      </c>
      <c r="O501" s="365">
        <v>1</v>
      </c>
      <c r="P501" s="369"/>
      <c r="Q501" s="366">
        <v>1</v>
      </c>
      <c r="R501" s="367">
        <v>0</v>
      </c>
      <c r="S501" s="366">
        <v>1</v>
      </c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8" x14ac:dyDescent="0.3">
      <c r="A502" s="1"/>
      <c r="B502" s="364">
        <v>7</v>
      </c>
      <c r="C502" s="68">
        <v>498</v>
      </c>
      <c r="D502" s="41">
        <v>82429</v>
      </c>
      <c r="E502" s="33" t="s">
        <v>82</v>
      </c>
      <c r="F502" s="30" t="s">
        <v>667</v>
      </c>
      <c r="G502" s="365">
        <v>1</v>
      </c>
      <c r="H502" s="365">
        <v>1</v>
      </c>
      <c r="I502" s="365">
        <v>1</v>
      </c>
      <c r="J502" s="365">
        <v>1</v>
      </c>
      <c r="K502" s="365">
        <v>1</v>
      </c>
      <c r="L502" s="365">
        <v>0.99229999999999996</v>
      </c>
      <c r="M502" s="365">
        <v>1</v>
      </c>
      <c r="N502" s="365">
        <v>1</v>
      </c>
      <c r="O502" s="365">
        <v>0</v>
      </c>
      <c r="P502" s="369"/>
      <c r="Q502" s="366">
        <v>0.97809999999999997</v>
      </c>
      <c r="R502" s="367">
        <v>0</v>
      </c>
      <c r="S502" s="366">
        <v>0.97809999999999997</v>
      </c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3">
      <c r="A503" s="1"/>
      <c r="B503" s="1"/>
      <c r="C503" s="1"/>
      <c r="D503" s="1"/>
      <c r="E503" s="1"/>
      <c r="F503" s="44"/>
      <c r="G503" s="1"/>
      <c r="H503" s="4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3">
      <c r="T504" t="e" cm="1">
        <f t="array" ref="T504">AV</f>
        <v>#NAME?</v>
      </c>
    </row>
  </sheetData>
  <mergeCells count="6">
    <mergeCell ref="B2:B3"/>
    <mergeCell ref="C2:C3"/>
    <mergeCell ref="E2:E3"/>
    <mergeCell ref="F2:F3"/>
    <mergeCell ref="R2:R3"/>
    <mergeCell ref="S2:S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E665-FE65-454E-B0BC-C6FEE5233222}">
  <sheetPr filterMode="1"/>
  <dimension ref="A1:H453"/>
  <sheetViews>
    <sheetView tabSelected="1" workbookViewId="0">
      <selection activeCell="I294" sqref="I294"/>
    </sheetView>
  </sheetViews>
  <sheetFormatPr defaultRowHeight="14.4" x14ac:dyDescent="0.3"/>
  <cols>
    <col min="1" max="1" width="4.33203125" bestFit="1" customWidth="1"/>
    <col min="2" max="2" width="11.6640625" bestFit="1" customWidth="1"/>
    <col min="3" max="3" width="50.88671875" bestFit="1" customWidth="1"/>
    <col min="4" max="4" width="6.77734375" bestFit="1" customWidth="1"/>
    <col min="5" max="5" width="8" bestFit="1" customWidth="1"/>
    <col min="6" max="6" width="15.33203125" bestFit="1" customWidth="1"/>
    <col min="7" max="7" width="8.21875" bestFit="1" customWidth="1"/>
  </cols>
  <sheetData>
    <row r="1" spans="1:8" ht="18" x14ac:dyDescent="0.35">
      <c r="A1" s="64" t="s">
        <v>3</v>
      </c>
      <c r="B1" s="64" t="s">
        <v>612</v>
      </c>
      <c r="C1" s="65" t="s">
        <v>613</v>
      </c>
      <c r="D1" s="66" t="s">
        <v>614</v>
      </c>
      <c r="E1" s="67" t="s">
        <v>15</v>
      </c>
      <c r="F1" s="67" t="s">
        <v>615</v>
      </c>
      <c r="G1" s="1"/>
    </row>
    <row r="2" spans="1:8" ht="18" hidden="1" x14ac:dyDescent="0.3">
      <c r="A2" s="68">
        <v>1</v>
      </c>
      <c r="B2" s="69">
        <v>80658338</v>
      </c>
      <c r="C2" s="69" t="s">
        <v>370</v>
      </c>
      <c r="D2" s="24" t="s">
        <v>616</v>
      </c>
      <c r="E2" s="70">
        <v>1</v>
      </c>
      <c r="F2" s="71">
        <v>118.8</v>
      </c>
      <c r="G2" s="72" t="s">
        <v>617</v>
      </c>
      <c r="H2" s="18">
        <f>AVERAGE(E2,E453)</f>
        <v>0.85912500000000003</v>
      </c>
    </row>
    <row r="3" spans="1:8" ht="18" hidden="1" x14ac:dyDescent="0.3">
      <c r="A3" s="68">
        <v>2</v>
      </c>
      <c r="B3" s="69">
        <v>80665323</v>
      </c>
      <c r="C3" s="69" t="s">
        <v>118</v>
      </c>
      <c r="D3" s="24" t="s">
        <v>618</v>
      </c>
      <c r="E3" s="70">
        <v>1</v>
      </c>
      <c r="F3" s="73">
        <v>78.7</v>
      </c>
      <c r="G3" s="72" t="s">
        <v>619</v>
      </c>
    </row>
    <row r="4" spans="1:8" ht="18" hidden="1" x14ac:dyDescent="0.3">
      <c r="A4" s="68">
        <v>3</v>
      </c>
      <c r="B4" s="69">
        <v>80672848</v>
      </c>
      <c r="C4" s="69" t="s">
        <v>359</v>
      </c>
      <c r="D4" s="24" t="s">
        <v>620</v>
      </c>
      <c r="E4" s="70">
        <v>1</v>
      </c>
      <c r="F4" s="74">
        <v>76.849999999999994</v>
      </c>
      <c r="G4" s="72" t="s">
        <v>621</v>
      </c>
    </row>
    <row r="5" spans="1:8" ht="18" hidden="1" x14ac:dyDescent="0.3">
      <c r="A5" s="68">
        <v>4</v>
      </c>
      <c r="B5" s="69">
        <v>80668045</v>
      </c>
      <c r="C5" s="69" t="s">
        <v>173</v>
      </c>
      <c r="D5" s="24" t="s">
        <v>622</v>
      </c>
      <c r="E5" s="70">
        <v>1</v>
      </c>
      <c r="F5" s="75">
        <v>70.42</v>
      </c>
      <c r="G5" s="72" t="s">
        <v>623</v>
      </c>
    </row>
    <row r="6" spans="1:8" ht="18" hidden="1" x14ac:dyDescent="0.3">
      <c r="A6" s="68">
        <v>5</v>
      </c>
      <c r="B6" s="69">
        <v>80660896</v>
      </c>
      <c r="C6" s="69" t="s">
        <v>487</v>
      </c>
      <c r="D6" s="24" t="s">
        <v>624</v>
      </c>
      <c r="E6" s="70">
        <v>1</v>
      </c>
      <c r="F6" s="76">
        <v>68.23</v>
      </c>
      <c r="G6" s="72" t="s">
        <v>625</v>
      </c>
    </row>
    <row r="7" spans="1:8" ht="72" hidden="1" x14ac:dyDescent="0.3">
      <c r="A7" s="68">
        <v>6</v>
      </c>
      <c r="B7" s="69">
        <v>80668042</v>
      </c>
      <c r="C7" s="77" t="s">
        <v>116</v>
      </c>
      <c r="D7" s="24" t="s">
        <v>618</v>
      </c>
      <c r="E7" s="70">
        <v>1</v>
      </c>
      <c r="F7" s="78">
        <v>67.349999999999994</v>
      </c>
      <c r="G7" s="1"/>
    </row>
    <row r="8" spans="1:8" ht="18" hidden="1" x14ac:dyDescent="0.3">
      <c r="A8" s="68">
        <v>7</v>
      </c>
      <c r="B8" s="69">
        <v>80673112</v>
      </c>
      <c r="C8" s="69" t="s">
        <v>160</v>
      </c>
      <c r="D8" s="24" t="s">
        <v>626</v>
      </c>
      <c r="E8" s="70">
        <v>1</v>
      </c>
      <c r="F8" s="79">
        <v>66.739999999999995</v>
      </c>
      <c r="G8" s="1"/>
    </row>
    <row r="9" spans="1:8" ht="18" hidden="1" x14ac:dyDescent="0.3">
      <c r="A9" s="68">
        <v>8</v>
      </c>
      <c r="B9" s="69">
        <v>80672851</v>
      </c>
      <c r="C9" s="69" t="s">
        <v>30</v>
      </c>
      <c r="D9" s="24" t="s">
        <v>627</v>
      </c>
      <c r="E9" s="70">
        <v>1</v>
      </c>
      <c r="F9" s="80">
        <v>66.5</v>
      </c>
      <c r="G9" s="1"/>
    </row>
    <row r="10" spans="1:8" ht="18" hidden="1" x14ac:dyDescent="0.3">
      <c r="A10" s="68">
        <v>9</v>
      </c>
      <c r="B10" s="69">
        <v>80670780</v>
      </c>
      <c r="C10" s="69" t="s">
        <v>257</v>
      </c>
      <c r="D10" s="24" t="s">
        <v>628</v>
      </c>
      <c r="E10" s="70">
        <v>1</v>
      </c>
      <c r="F10" s="81">
        <v>63.68</v>
      </c>
      <c r="G10" s="1"/>
    </row>
    <row r="11" spans="1:8" ht="18" hidden="1" x14ac:dyDescent="0.3">
      <c r="A11" s="68">
        <v>10</v>
      </c>
      <c r="B11" s="69">
        <v>80672653</v>
      </c>
      <c r="C11" s="69" t="s">
        <v>327</v>
      </c>
      <c r="D11" s="24" t="s">
        <v>629</v>
      </c>
      <c r="E11" s="70">
        <v>1</v>
      </c>
      <c r="F11" s="82">
        <v>60.79</v>
      </c>
      <c r="G11" s="1"/>
    </row>
    <row r="12" spans="1:8" ht="18" hidden="1" x14ac:dyDescent="0.3">
      <c r="A12" s="68">
        <v>11</v>
      </c>
      <c r="B12" s="69">
        <v>80662045</v>
      </c>
      <c r="C12" s="69" t="s">
        <v>151</v>
      </c>
      <c r="D12" s="24" t="s">
        <v>630</v>
      </c>
      <c r="E12" s="70">
        <v>1</v>
      </c>
      <c r="F12" s="83">
        <v>58.18</v>
      </c>
      <c r="G12" s="1"/>
    </row>
    <row r="13" spans="1:8" ht="18" hidden="1" x14ac:dyDescent="0.3">
      <c r="A13" s="68">
        <v>12</v>
      </c>
      <c r="B13" s="69">
        <v>80672155</v>
      </c>
      <c r="C13" s="69" t="s">
        <v>202</v>
      </c>
      <c r="D13" s="24" t="s">
        <v>631</v>
      </c>
      <c r="E13" s="70">
        <v>1</v>
      </c>
      <c r="F13" s="83">
        <v>57.88</v>
      </c>
      <c r="G13" s="1"/>
    </row>
    <row r="14" spans="1:8" ht="18" hidden="1" x14ac:dyDescent="0.3">
      <c r="A14" s="68">
        <v>13</v>
      </c>
      <c r="B14" s="69">
        <v>80666872</v>
      </c>
      <c r="C14" s="69" t="s">
        <v>569</v>
      </c>
      <c r="D14" s="24" t="s">
        <v>632</v>
      </c>
      <c r="E14" s="70">
        <v>1</v>
      </c>
      <c r="F14" s="84">
        <v>57.83</v>
      </c>
      <c r="G14" s="1"/>
    </row>
    <row r="15" spans="1:8" ht="18" hidden="1" x14ac:dyDescent="0.3">
      <c r="A15" s="68">
        <v>14</v>
      </c>
      <c r="B15" s="69">
        <v>80672159</v>
      </c>
      <c r="C15" s="69" t="s">
        <v>206</v>
      </c>
      <c r="D15" s="24" t="s">
        <v>633</v>
      </c>
      <c r="E15" s="70">
        <v>1</v>
      </c>
      <c r="F15" s="85">
        <v>57.18</v>
      </c>
      <c r="G15" s="1"/>
    </row>
    <row r="16" spans="1:8" ht="18" hidden="1" x14ac:dyDescent="0.3">
      <c r="A16" s="68">
        <v>15</v>
      </c>
      <c r="B16" s="69">
        <v>80668529</v>
      </c>
      <c r="C16" s="69" t="s">
        <v>112</v>
      </c>
      <c r="D16" s="24" t="s">
        <v>634</v>
      </c>
      <c r="E16" s="70">
        <v>1</v>
      </c>
      <c r="F16" s="86">
        <v>55.95</v>
      </c>
      <c r="G16" s="1"/>
    </row>
    <row r="17" spans="1:7" ht="18" hidden="1" x14ac:dyDescent="0.3">
      <c r="A17" s="68">
        <v>16</v>
      </c>
      <c r="B17" s="69">
        <v>80664675</v>
      </c>
      <c r="C17" s="69" t="s">
        <v>258</v>
      </c>
      <c r="D17" s="24" t="s">
        <v>628</v>
      </c>
      <c r="E17" s="70">
        <v>1</v>
      </c>
      <c r="F17" s="87">
        <v>55.11</v>
      </c>
      <c r="G17" s="1"/>
    </row>
    <row r="18" spans="1:7" ht="18" x14ac:dyDescent="0.3">
      <c r="A18" s="68">
        <v>17</v>
      </c>
      <c r="B18" s="69">
        <v>80671876</v>
      </c>
      <c r="C18" s="69" t="s">
        <v>363</v>
      </c>
      <c r="D18" s="24" t="s">
        <v>635</v>
      </c>
      <c r="E18" s="70">
        <v>1</v>
      </c>
      <c r="F18" s="88">
        <v>53.74</v>
      </c>
      <c r="G18" s="1"/>
    </row>
    <row r="19" spans="1:7" ht="18" hidden="1" x14ac:dyDescent="0.3">
      <c r="A19" s="68">
        <v>18</v>
      </c>
      <c r="B19" s="69">
        <v>80672167</v>
      </c>
      <c r="C19" s="69" t="s">
        <v>254</v>
      </c>
      <c r="D19" s="24" t="s">
        <v>636</v>
      </c>
      <c r="E19" s="89">
        <v>0.99978999999999996</v>
      </c>
      <c r="F19" s="90">
        <v>59.71</v>
      </c>
      <c r="G19" s="1"/>
    </row>
    <row r="20" spans="1:7" ht="18" hidden="1" x14ac:dyDescent="0.3">
      <c r="A20" s="68">
        <v>19</v>
      </c>
      <c r="B20" s="69">
        <v>80660888</v>
      </c>
      <c r="C20" s="69" t="s">
        <v>110</v>
      </c>
      <c r="D20" s="24" t="s">
        <v>634</v>
      </c>
      <c r="E20" s="89">
        <v>0.99958999999999998</v>
      </c>
      <c r="F20" s="91">
        <v>69.25</v>
      </c>
      <c r="G20" s="1"/>
    </row>
    <row r="21" spans="1:7" ht="18" hidden="1" x14ac:dyDescent="0.3">
      <c r="A21" s="68">
        <v>20</v>
      </c>
      <c r="B21" s="69">
        <v>80667641</v>
      </c>
      <c r="C21" s="69" t="s">
        <v>147</v>
      </c>
      <c r="D21" s="24" t="s">
        <v>637</v>
      </c>
      <c r="E21" s="92">
        <v>0.99950000000000006</v>
      </c>
      <c r="F21" s="93">
        <v>58.5</v>
      </c>
      <c r="G21" s="1"/>
    </row>
    <row r="22" spans="1:7" ht="18" hidden="1" x14ac:dyDescent="0.3">
      <c r="A22" s="68">
        <v>21</v>
      </c>
      <c r="B22" s="69">
        <v>80672632</v>
      </c>
      <c r="C22" s="69" t="s">
        <v>40</v>
      </c>
      <c r="D22" s="24" t="s">
        <v>638</v>
      </c>
      <c r="E22" s="92">
        <v>0.99939999999999996</v>
      </c>
      <c r="F22" s="94">
        <v>59.16</v>
      </c>
      <c r="G22" s="1"/>
    </row>
    <row r="23" spans="1:7" ht="18" hidden="1" x14ac:dyDescent="0.3">
      <c r="A23" s="68">
        <v>22</v>
      </c>
      <c r="B23" s="69">
        <v>80663070</v>
      </c>
      <c r="C23" s="69" t="s">
        <v>117</v>
      </c>
      <c r="D23" s="24" t="s">
        <v>618</v>
      </c>
      <c r="E23" s="92">
        <v>0.99912999999999996</v>
      </c>
      <c r="F23" s="95">
        <v>68.56</v>
      </c>
      <c r="G23" s="1"/>
    </row>
    <row r="24" spans="1:7" ht="18" hidden="1" x14ac:dyDescent="0.3">
      <c r="A24" s="68">
        <v>23</v>
      </c>
      <c r="B24" s="69">
        <v>80668956</v>
      </c>
      <c r="C24" s="69" t="s">
        <v>98</v>
      </c>
      <c r="D24" s="24" t="s">
        <v>639</v>
      </c>
      <c r="E24" s="96">
        <v>0.99826000000000004</v>
      </c>
      <c r="F24" s="97">
        <v>78.25</v>
      </c>
      <c r="G24" s="1"/>
    </row>
    <row r="25" spans="1:7" ht="18" hidden="1" x14ac:dyDescent="0.3">
      <c r="A25" s="68">
        <v>24</v>
      </c>
      <c r="B25" s="69">
        <v>80668920</v>
      </c>
      <c r="C25" s="69" t="s">
        <v>454</v>
      </c>
      <c r="D25" s="24" t="s">
        <v>640</v>
      </c>
      <c r="E25" s="98">
        <v>0.998</v>
      </c>
      <c r="F25" s="99">
        <v>64.94</v>
      </c>
      <c r="G25" s="1"/>
    </row>
    <row r="26" spans="1:7" ht="18" hidden="1" x14ac:dyDescent="0.3">
      <c r="A26" s="68">
        <v>25</v>
      </c>
      <c r="B26" s="69">
        <v>80674452</v>
      </c>
      <c r="C26" s="69" t="s">
        <v>262</v>
      </c>
      <c r="D26" s="24" t="s">
        <v>628</v>
      </c>
      <c r="E26" s="98">
        <v>0.998</v>
      </c>
      <c r="F26" s="100">
        <v>58.37</v>
      </c>
      <c r="G26" s="1"/>
    </row>
    <row r="27" spans="1:7" ht="18" hidden="1" x14ac:dyDescent="0.3">
      <c r="A27" s="68">
        <v>26</v>
      </c>
      <c r="B27" s="69">
        <v>80670777</v>
      </c>
      <c r="C27" s="69" t="s">
        <v>413</v>
      </c>
      <c r="D27" s="24" t="s">
        <v>641</v>
      </c>
      <c r="E27" s="101">
        <v>0.99750000000000005</v>
      </c>
      <c r="F27" s="83">
        <v>58.07</v>
      </c>
      <c r="G27" s="1"/>
    </row>
    <row r="28" spans="1:7" ht="18" hidden="1" x14ac:dyDescent="0.3">
      <c r="A28" s="68">
        <v>27</v>
      </c>
      <c r="B28" s="69">
        <v>80672843</v>
      </c>
      <c r="C28" s="69" t="s">
        <v>301</v>
      </c>
      <c r="D28" s="24" t="s">
        <v>642</v>
      </c>
      <c r="E28" s="102">
        <v>0.99722999999999995</v>
      </c>
      <c r="F28" s="84">
        <v>57.79</v>
      </c>
      <c r="G28" s="1"/>
    </row>
    <row r="29" spans="1:7" ht="18" hidden="1" x14ac:dyDescent="0.3">
      <c r="A29" s="68">
        <v>28</v>
      </c>
      <c r="B29" s="69">
        <v>80669280</v>
      </c>
      <c r="C29" s="69" t="s">
        <v>406</v>
      </c>
      <c r="D29" s="24" t="s">
        <v>643</v>
      </c>
      <c r="E29" s="102">
        <v>0.99712000000000001</v>
      </c>
      <c r="F29" s="103">
        <v>67.150000000000006</v>
      </c>
      <c r="G29" s="1"/>
    </row>
    <row r="30" spans="1:7" ht="18" hidden="1" x14ac:dyDescent="0.3">
      <c r="A30" s="68">
        <v>29</v>
      </c>
      <c r="B30" s="69">
        <v>80672806</v>
      </c>
      <c r="C30" s="69" t="s">
        <v>429</v>
      </c>
      <c r="D30" s="24" t="s">
        <v>644</v>
      </c>
      <c r="E30" s="104">
        <v>0.99614999999999998</v>
      </c>
      <c r="F30" s="99">
        <v>64.650000000000006</v>
      </c>
      <c r="G30" s="1"/>
    </row>
    <row r="31" spans="1:7" ht="18" hidden="1" x14ac:dyDescent="0.3">
      <c r="A31" s="68">
        <v>30</v>
      </c>
      <c r="B31" s="69">
        <v>80670782</v>
      </c>
      <c r="C31" s="69" t="s">
        <v>156</v>
      </c>
      <c r="D31" s="24" t="s">
        <v>630</v>
      </c>
      <c r="E31" s="105">
        <v>0.99331999999999998</v>
      </c>
      <c r="F31" s="106">
        <v>51.89</v>
      </c>
      <c r="G31" s="1"/>
    </row>
    <row r="32" spans="1:7" ht="18" hidden="1" x14ac:dyDescent="0.3">
      <c r="A32" s="68">
        <v>31</v>
      </c>
      <c r="B32" s="69">
        <v>80669290</v>
      </c>
      <c r="C32" s="69" t="s">
        <v>67</v>
      </c>
      <c r="D32" s="24" t="s">
        <v>645</v>
      </c>
      <c r="E32" s="107">
        <v>0.99163999999999997</v>
      </c>
      <c r="F32" s="108">
        <v>51.32</v>
      </c>
      <c r="G32" s="1"/>
    </row>
    <row r="33" spans="1:7" ht="18" hidden="1" x14ac:dyDescent="0.3">
      <c r="A33" s="68">
        <v>32</v>
      </c>
      <c r="B33" s="69">
        <v>80670973</v>
      </c>
      <c r="C33" s="69" t="s">
        <v>122</v>
      </c>
      <c r="D33" s="24" t="s">
        <v>646</v>
      </c>
      <c r="E33" s="109">
        <v>0.98694000000000004</v>
      </c>
      <c r="F33" s="110">
        <v>50.65</v>
      </c>
      <c r="G33" s="1"/>
    </row>
    <row r="34" spans="1:7" ht="18" hidden="1" x14ac:dyDescent="0.3">
      <c r="A34" s="68">
        <v>33</v>
      </c>
      <c r="B34" s="69">
        <v>80672635</v>
      </c>
      <c r="C34" s="69" t="s">
        <v>261</v>
      </c>
      <c r="D34" s="24" t="s">
        <v>628</v>
      </c>
      <c r="E34" s="111">
        <v>0.98550000000000004</v>
      </c>
      <c r="F34" s="112">
        <v>56.28</v>
      </c>
      <c r="G34" s="1"/>
    </row>
    <row r="35" spans="1:7" ht="18" hidden="1" x14ac:dyDescent="0.3">
      <c r="A35" s="68">
        <v>34</v>
      </c>
      <c r="B35" s="69">
        <v>80669283</v>
      </c>
      <c r="C35" s="69" t="s">
        <v>416</v>
      </c>
      <c r="D35" s="24" t="s">
        <v>647</v>
      </c>
      <c r="E35" s="113">
        <v>0.98</v>
      </c>
      <c r="F35" s="114">
        <v>94.95</v>
      </c>
      <c r="G35" s="1"/>
    </row>
    <row r="36" spans="1:7" ht="18" hidden="1" x14ac:dyDescent="0.3">
      <c r="A36" s="68">
        <v>35</v>
      </c>
      <c r="B36" s="69">
        <v>80664680</v>
      </c>
      <c r="C36" s="69" t="s">
        <v>285</v>
      </c>
      <c r="D36" s="24" t="s">
        <v>648</v>
      </c>
      <c r="E36" s="113">
        <v>0.98</v>
      </c>
      <c r="F36" s="115">
        <v>84.05</v>
      </c>
      <c r="G36" s="1"/>
    </row>
    <row r="37" spans="1:7" ht="18" hidden="1" x14ac:dyDescent="0.3">
      <c r="A37" s="68">
        <v>36</v>
      </c>
      <c r="B37" s="69">
        <v>80673613</v>
      </c>
      <c r="C37" s="69" t="s">
        <v>189</v>
      </c>
      <c r="D37" s="24" t="s">
        <v>649</v>
      </c>
      <c r="E37" s="113">
        <v>0.98</v>
      </c>
      <c r="F37" s="116">
        <v>75.63</v>
      </c>
      <c r="G37" s="1"/>
    </row>
    <row r="38" spans="1:7" ht="18" hidden="1" x14ac:dyDescent="0.3">
      <c r="A38" s="68">
        <v>37</v>
      </c>
      <c r="B38" s="69">
        <v>80665548</v>
      </c>
      <c r="C38" s="69" t="s">
        <v>234</v>
      </c>
      <c r="D38" s="24" t="s">
        <v>650</v>
      </c>
      <c r="E38" s="113">
        <v>0.98</v>
      </c>
      <c r="F38" s="117">
        <v>74.650000000000006</v>
      </c>
      <c r="G38" s="1"/>
    </row>
    <row r="39" spans="1:7" ht="18" hidden="1" x14ac:dyDescent="0.3">
      <c r="A39" s="68">
        <v>38</v>
      </c>
      <c r="B39" s="69">
        <v>80671842</v>
      </c>
      <c r="C39" s="69" t="s">
        <v>443</v>
      </c>
      <c r="D39" s="24" t="s">
        <v>651</v>
      </c>
      <c r="E39" s="113">
        <v>0.98</v>
      </c>
      <c r="F39" s="118">
        <v>74.11</v>
      </c>
      <c r="G39" s="1"/>
    </row>
    <row r="40" spans="1:7" ht="18" hidden="1" x14ac:dyDescent="0.3">
      <c r="A40" s="68">
        <v>39</v>
      </c>
      <c r="B40" s="69">
        <v>80670778</v>
      </c>
      <c r="C40" s="69" t="s">
        <v>494</v>
      </c>
      <c r="D40" s="24" t="s">
        <v>652</v>
      </c>
      <c r="E40" s="113">
        <v>0.98</v>
      </c>
      <c r="F40" s="119">
        <v>70.05</v>
      </c>
      <c r="G40" s="1"/>
    </row>
    <row r="41" spans="1:7" ht="18" hidden="1" x14ac:dyDescent="0.3">
      <c r="A41" s="68">
        <v>40</v>
      </c>
      <c r="B41" s="69">
        <v>80665186</v>
      </c>
      <c r="C41" s="69" t="s">
        <v>340</v>
      </c>
      <c r="D41" s="24" t="s">
        <v>653</v>
      </c>
      <c r="E41" s="113">
        <v>0.98</v>
      </c>
      <c r="F41" s="119">
        <v>69.75</v>
      </c>
      <c r="G41" s="1"/>
    </row>
    <row r="42" spans="1:7" ht="18" hidden="1" x14ac:dyDescent="0.3">
      <c r="A42" s="68">
        <v>41</v>
      </c>
      <c r="B42" s="69">
        <v>80659186</v>
      </c>
      <c r="C42" s="69" t="s">
        <v>52</v>
      </c>
      <c r="D42" s="24" t="s">
        <v>654</v>
      </c>
      <c r="E42" s="113">
        <v>0.98</v>
      </c>
      <c r="F42" s="91">
        <v>69.17</v>
      </c>
      <c r="G42" s="1"/>
    </row>
    <row r="43" spans="1:7" ht="18" hidden="1" x14ac:dyDescent="0.3">
      <c r="A43" s="68">
        <v>42</v>
      </c>
      <c r="B43" s="69">
        <v>80670967</v>
      </c>
      <c r="C43" s="69" t="s">
        <v>421</v>
      </c>
      <c r="D43" s="24" t="s">
        <v>655</v>
      </c>
      <c r="E43" s="113">
        <v>0.98</v>
      </c>
      <c r="F43" s="120">
        <v>66.11</v>
      </c>
      <c r="G43" s="1"/>
    </row>
    <row r="44" spans="1:7" ht="18" hidden="1" x14ac:dyDescent="0.3">
      <c r="A44" s="68">
        <v>43</v>
      </c>
      <c r="B44" s="69">
        <v>80670966</v>
      </c>
      <c r="C44" s="69" t="s">
        <v>302</v>
      </c>
      <c r="D44" s="24" t="s">
        <v>642</v>
      </c>
      <c r="E44" s="113">
        <v>0.98</v>
      </c>
      <c r="F44" s="120">
        <v>66.05</v>
      </c>
      <c r="G44" s="1"/>
    </row>
    <row r="45" spans="1:7" ht="18" hidden="1" x14ac:dyDescent="0.3">
      <c r="A45" s="68">
        <v>44</v>
      </c>
      <c r="B45" s="69">
        <v>80672171</v>
      </c>
      <c r="C45" s="69" t="s">
        <v>372</v>
      </c>
      <c r="D45" s="24" t="s">
        <v>616</v>
      </c>
      <c r="E45" s="113">
        <v>0.98</v>
      </c>
      <c r="F45" s="121">
        <v>63.82</v>
      </c>
      <c r="G45" s="1"/>
    </row>
    <row r="46" spans="1:7" ht="18" hidden="1" x14ac:dyDescent="0.3">
      <c r="A46" s="68">
        <v>45</v>
      </c>
      <c r="B46" s="69">
        <v>80673573</v>
      </c>
      <c r="C46" s="69" t="s">
        <v>71</v>
      </c>
      <c r="D46" s="24" t="s">
        <v>656</v>
      </c>
      <c r="E46" s="113">
        <v>0.98</v>
      </c>
      <c r="F46" s="81">
        <v>63.7</v>
      </c>
      <c r="G46" s="1"/>
    </row>
    <row r="47" spans="1:7" ht="18" hidden="1" x14ac:dyDescent="0.3">
      <c r="A47" s="68">
        <v>46</v>
      </c>
      <c r="B47" s="69">
        <v>80673636</v>
      </c>
      <c r="C47" s="69" t="s">
        <v>337</v>
      </c>
      <c r="D47" s="24" t="s">
        <v>657</v>
      </c>
      <c r="E47" s="113">
        <v>0.98</v>
      </c>
      <c r="F47" s="81">
        <v>63.5</v>
      </c>
      <c r="G47" s="1"/>
    </row>
    <row r="48" spans="1:7" ht="18" hidden="1" x14ac:dyDescent="0.3">
      <c r="A48" s="68">
        <v>47</v>
      </c>
      <c r="B48" s="69">
        <v>80673113</v>
      </c>
      <c r="C48" s="69" t="s">
        <v>207</v>
      </c>
      <c r="D48" s="24" t="s">
        <v>633</v>
      </c>
      <c r="E48" s="113">
        <v>0.98</v>
      </c>
      <c r="F48" s="122">
        <v>63.25</v>
      </c>
      <c r="G48" s="1"/>
    </row>
    <row r="49" spans="1:7" ht="18" hidden="1" x14ac:dyDescent="0.3">
      <c r="A49" s="68">
        <v>48</v>
      </c>
      <c r="B49" s="69">
        <v>80672808</v>
      </c>
      <c r="C49" s="69" t="s">
        <v>246</v>
      </c>
      <c r="D49" s="24" t="s">
        <v>658</v>
      </c>
      <c r="E49" s="113">
        <v>0.98</v>
      </c>
      <c r="F49" s="123">
        <v>62.55</v>
      </c>
      <c r="G49" s="1"/>
    </row>
    <row r="50" spans="1:7" ht="18" hidden="1" x14ac:dyDescent="0.3">
      <c r="A50" s="68">
        <v>49</v>
      </c>
      <c r="B50" s="69">
        <v>80663637</v>
      </c>
      <c r="C50" s="69" t="s">
        <v>415</v>
      </c>
      <c r="D50" s="24" t="s">
        <v>647</v>
      </c>
      <c r="E50" s="113">
        <v>0.98</v>
      </c>
      <c r="F50" s="124">
        <v>62.09</v>
      </c>
      <c r="G50" s="1"/>
    </row>
    <row r="51" spans="1:7" ht="18" hidden="1" x14ac:dyDescent="0.3">
      <c r="A51" s="68">
        <v>50</v>
      </c>
      <c r="B51" s="69">
        <v>80673125</v>
      </c>
      <c r="C51" s="69" t="s">
        <v>352</v>
      </c>
      <c r="D51" s="24" t="s">
        <v>659</v>
      </c>
      <c r="E51" s="113">
        <v>0.98</v>
      </c>
      <c r="F51" s="94">
        <v>59.33</v>
      </c>
      <c r="G51" s="1"/>
    </row>
    <row r="52" spans="1:7" ht="18" hidden="1" x14ac:dyDescent="0.3">
      <c r="A52" s="68">
        <v>51</v>
      </c>
      <c r="B52" s="69">
        <v>80668526</v>
      </c>
      <c r="C52" s="69" t="s">
        <v>385</v>
      </c>
      <c r="D52" s="24" t="s">
        <v>660</v>
      </c>
      <c r="E52" s="113">
        <v>0.98</v>
      </c>
      <c r="F52" s="93">
        <v>58.47</v>
      </c>
      <c r="G52" s="1"/>
    </row>
    <row r="53" spans="1:7" ht="18" hidden="1" x14ac:dyDescent="0.3">
      <c r="A53" s="68">
        <v>52</v>
      </c>
      <c r="B53" s="69">
        <v>80672853</v>
      </c>
      <c r="C53" s="69" t="s">
        <v>47</v>
      </c>
      <c r="D53" s="24" t="s">
        <v>661</v>
      </c>
      <c r="E53" s="113">
        <v>0.98</v>
      </c>
      <c r="F53" s="83">
        <v>57.9</v>
      </c>
      <c r="G53" s="1"/>
    </row>
    <row r="54" spans="1:7" ht="18" hidden="1" x14ac:dyDescent="0.3">
      <c r="A54" s="68">
        <v>53</v>
      </c>
      <c r="B54" s="69">
        <v>80668519</v>
      </c>
      <c r="C54" s="69" t="s">
        <v>158</v>
      </c>
      <c r="D54" s="24" t="s">
        <v>626</v>
      </c>
      <c r="E54" s="113">
        <v>0.98</v>
      </c>
      <c r="F54" s="83">
        <v>57.9</v>
      </c>
      <c r="G54" s="1"/>
    </row>
    <row r="55" spans="1:7" ht="18" hidden="1" x14ac:dyDescent="0.3">
      <c r="A55" s="68">
        <v>54</v>
      </c>
      <c r="B55" s="69">
        <v>80672154</v>
      </c>
      <c r="C55" s="69" t="s">
        <v>555</v>
      </c>
      <c r="D55" s="24" t="s">
        <v>662</v>
      </c>
      <c r="E55" s="113">
        <v>0.98</v>
      </c>
      <c r="F55" s="84">
        <v>57.53</v>
      </c>
      <c r="G55" s="1"/>
    </row>
    <row r="56" spans="1:7" ht="18" hidden="1" x14ac:dyDescent="0.3">
      <c r="A56" s="68">
        <v>55</v>
      </c>
      <c r="B56" s="69">
        <v>80672175</v>
      </c>
      <c r="C56" s="69" t="s">
        <v>69</v>
      </c>
      <c r="D56" s="24" t="s">
        <v>656</v>
      </c>
      <c r="E56" s="113">
        <v>0.98</v>
      </c>
      <c r="F56" s="84">
        <v>57.47</v>
      </c>
      <c r="G56" s="1"/>
    </row>
    <row r="57" spans="1:7" ht="18" hidden="1" x14ac:dyDescent="0.3">
      <c r="A57" s="68">
        <v>56</v>
      </c>
      <c r="B57" s="69">
        <v>80664543</v>
      </c>
      <c r="C57" s="69" t="s">
        <v>250</v>
      </c>
      <c r="D57" s="24" t="s">
        <v>636</v>
      </c>
      <c r="E57" s="113">
        <v>0.98</v>
      </c>
      <c r="F57" s="84">
        <v>57.45</v>
      </c>
      <c r="G57" s="1"/>
    </row>
    <row r="58" spans="1:7" ht="18" hidden="1" x14ac:dyDescent="0.3">
      <c r="A58" s="68">
        <v>57</v>
      </c>
      <c r="B58" s="69">
        <v>80672650</v>
      </c>
      <c r="C58" s="69" t="s">
        <v>430</v>
      </c>
      <c r="D58" s="24" t="s">
        <v>644</v>
      </c>
      <c r="E58" s="113">
        <v>0.98</v>
      </c>
      <c r="F58" s="85">
        <v>57.16</v>
      </c>
      <c r="G58" s="1"/>
    </row>
    <row r="59" spans="1:7" ht="18" hidden="1" x14ac:dyDescent="0.3">
      <c r="A59" s="68">
        <v>58</v>
      </c>
      <c r="B59" s="69">
        <v>80672163</v>
      </c>
      <c r="C59" s="69" t="s">
        <v>463</v>
      </c>
      <c r="D59" s="24" t="s">
        <v>663</v>
      </c>
      <c r="E59" s="113">
        <v>0.98</v>
      </c>
      <c r="F59" s="125">
        <v>57</v>
      </c>
      <c r="G59" s="1"/>
    </row>
    <row r="60" spans="1:7" ht="18" hidden="1" x14ac:dyDescent="0.3">
      <c r="A60" s="68">
        <v>59</v>
      </c>
      <c r="B60" s="69">
        <v>80672165</v>
      </c>
      <c r="C60" s="69" t="s">
        <v>315</v>
      </c>
      <c r="D60" s="24" t="s">
        <v>664</v>
      </c>
      <c r="E60" s="113">
        <v>0.98</v>
      </c>
      <c r="F60" s="125">
        <v>56.94</v>
      </c>
      <c r="G60" s="1"/>
    </row>
    <row r="61" spans="1:7" ht="18" hidden="1" x14ac:dyDescent="0.3">
      <c r="A61" s="68">
        <v>60</v>
      </c>
      <c r="B61" s="69">
        <v>80672168</v>
      </c>
      <c r="C61" s="69" t="s">
        <v>347</v>
      </c>
      <c r="D61" s="24" t="s">
        <v>665</v>
      </c>
      <c r="E61" s="113">
        <v>0.98</v>
      </c>
      <c r="F61" s="125">
        <v>56.82</v>
      </c>
      <c r="G61" s="1"/>
    </row>
    <row r="62" spans="1:7" ht="18" hidden="1" x14ac:dyDescent="0.3">
      <c r="A62" s="68">
        <v>61</v>
      </c>
      <c r="B62" s="69">
        <v>80671875</v>
      </c>
      <c r="C62" s="69" t="s">
        <v>379</v>
      </c>
      <c r="D62" s="24" t="s">
        <v>666</v>
      </c>
      <c r="E62" s="113">
        <v>0.98</v>
      </c>
      <c r="F62" s="126">
        <v>54.25</v>
      </c>
      <c r="G62" s="1"/>
    </row>
    <row r="63" spans="1:7" ht="18" hidden="1" x14ac:dyDescent="0.3">
      <c r="A63" s="68">
        <v>62</v>
      </c>
      <c r="B63" s="69">
        <v>80667644</v>
      </c>
      <c r="C63" s="69" t="s">
        <v>76</v>
      </c>
      <c r="D63" s="24" t="s">
        <v>667</v>
      </c>
      <c r="E63" s="113">
        <v>0.98</v>
      </c>
      <c r="F63" s="127">
        <v>50.1</v>
      </c>
      <c r="G63" s="1"/>
    </row>
    <row r="64" spans="1:7" ht="18" hidden="1" x14ac:dyDescent="0.3">
      <c r="A64" s="68">
        <v>63</v>
      </c>
      <c r="B64" s="69">
        <v>80668952</v>
      </c>
      <c r="C64" s="69" t="s">
        <v>72</v>
      </c>
      <c r="D64" s="24" t="s">
        <v>656</v>
      </c>
      <c r="E64" s="113">
        <v>0.97987000000000002</v>
      </c>
      <c r="F64" s="128">
        <v>89.9</v>
      </c>
      <c r="G64" s="1"/>
    </row>
    <row r="65" spans="1:7" ht="18" hidden="1" x14ac:dyDescent="0.3">
      <c r="A65" s="68">
        <v>64</v>
      </c>
      <c r="B65" s="69">
        <v>80667640</v>
      </c>
      <c r="C65" s="69" t="s">
        <v>21</v>
      </c>
      <c r="D65" s="24" t="s">
        <v>668</v>
      </c>
      <c r="E65" s="113">
        <v>0.97985</v>
      </c>
      <c r="F65" s="122">
        <v>63.21</v>
      </c>
      <c r="G65" s="1"/>
    </row>
    <row r="66" spans="1:7" ht="18" hidden="1" x14ac:dyDescent="0.3">
      <c r="A66" s="68">
        <v>65</v>
      </c>
      <c r="B66" s="69">
        <v>80672637</v>
      </c>
      <c r="C66" s="69" t="s">
        <v>242</v>
      </c>
      <c r="D66" s="24" t="s">
        <v>669</v>
      </c>
      <c r="E66" s="113">
        <v>0.97985</v>
      </c>
      <c r="F66" s="85">
        <v>57.42</v>
      </c>
      <c r="G66" s="1"/>
    </row>
    <row r="67" spans="1:7" ht="18" hidden="1" x14ac:dyDescent="0.3">
      <c r="A67" s="68">
        <v>66</v>
      </c>
      <c r="B67" s="69">
        <v>80666862</v>
      </c>
      <c r="C67" s="69" t="s">
        <v>253</v>
      </c>
      <c r="D67" s="24" t="s">
        <v>636</v>
      </c>
      <c r="E67" s="129">
        <v>0.97980999999999996</v>
      </c>
      <c r="F67" s="84">
        <v>57.76</v>
      </c>
      <c r="G67" s="1"/>
    </row>
    <row r="68" spans="1:7" ht="18" hidden="1" x14ac:dyDescent="0.3">
      <c r="A68" s="68">
        <v>67</v>
      </c>
      <c r="B68" s="69">
        <v>80668954</v>
      </c>
      <c r="C68" s="69" t="s">
        <v>85</v>
      </c>
      <c r="D68" s="24" t="s">
        <v>670</v>
      </c>
      <c r="E68" s="129">
        <v>0.97979000000000005</v>
      </c>
      <c r="F68" s="130">
        <v>65.7</v>
      </c>
      <c r="G68" s="1"/>
    </row>
    <row r="69" spans="1:7" ht="18" hidden="1" x14ac:dyDescent="0.3">
      <c r="A69" s="68">
        <v>68</v>
      </c>
      <c r="B69" s="69">
        <v>80662434</v>
      </c>
      <c r="C69" s="69" t="s">
        <v>33</v>
      </c>
      <c r="D69" s="24" t="s">
        <v>627</v>
      </c>
      <c r="E69" s="129">
        <v>0.97979000000000005</v>
      </c>
      <c r="F69" s="131">
        <v>62.4</v>
      </c>
      <c r="G69" s="1"/>
    </row>
    <row r="70" spans="1:7" ht="18" hidden="1" x14ac:dyDescent="0.3">
      <c r="A70" s="68">
        <v>69</v>
      </c>
      <c r="B70" s="69">
        <v>80665185</v>
      </c>
      <c r="C70" s="69" t="s">
        <v>97</v>
      </c>
      <c r="D70" s="24" t="s">
        <v>639</v>
      </c>
      <c r="E70" s="132">
        <v>0.97977000000000003</v>
      </c>
      <c r="F70" s="85">
        <v>57.37</v>
      </c>
      <c r="G70" s="1"/>
    </row>
    <row r="71" spans="1:7" ht="18" hidden="1" x14ac:dyDescent="0.3">
      <c r="A71" s="68">
        <v>70</v>
      </c>
      <c r="B71" s="69">
        <v>80665170</v>
      </c>
      <c r="C71" s="69" t="s">
        <v>468</v>
      </c>
      <c r="D71" s="24" t="s">
        <v>671</v>
      </c>
      <c r="E71" s="132">
        <v>0.97967000000000004</v>
      </c>
      <c r="F71" s="90">
        <v>59.74</v>
      </c>
      <c r="G71" s="1"/>
    </row>
    <row r="72" spans="1:7" ht="18" hidden="1" x14ac:dyDescent="0.3">
      <c r="A72" s="68">
        <v>71</v>
      </c>
      <c r="B72" s="69">
        <v>80664636</v>
      </c>
      <c r="C72" s="69" t="s">
        <v>187</v>
      </c>
      <c r="D72" s="24" t="s">
        <v>649</v>
      </c>
      <c r="E72" s="132">
        <v>0.97963999999999996</v>
      </c>
      <c r="F72" s="122">
        <v>63.05</v>
      </c>
      <c r="G72" s="1"/>
    </row>
    <row r="73" spans="1:7" ht="18" hidden="1" x14ac:dyDescent="0.3">
      <c r="A73" s="68">
        <v>72</v>
      </c>
      <c r="B73" s="69">
        <v>80673110</v>
      </c>
      <c r="C73" s="69" t="s">
        <v>244</v>
      </c>
      <c r="D73" s="24" t="s">
        <v>658</v>
      </c>
      <c r="E73" s="132">
        <v>0.97963</v>
      </c>
      <c r="F73" s="133">
        <v>58.8</v>
      </c>
      <c r="G73" s="1"/>
    </row>
    <row r="74" spans="1:7" ht="18" hidden="1" x14ac:dyDescent="0.3">
      <c r="A74" s="68">
        <v>73</v>
      </c>
      <c r="B74" s="69">
        <v>80669285</v>
      </c>
      <c r="C74" s="69" t="s">
        <v>240</v>
      </c>
      <c r="D74" s="24" t="s">
        <v>669</v>
      </c>
      <c r="E74" s="132">
        <v>0.97958999999999996</v>
      </c>
      <c r="F74" s="134">
        <v>93.58</v>
      </c>
      <c r="G74" s="1"/>
    </row>
    <row r="75" spans="1:7" ht="18" hidden="1" x14ac:dyDescent="0.3">
      <c r="A75" s="68">
        <v>74</v>
      </c>
      <c r="B75" s="69">
        <v>80672647</v>
      </c>
      <c r="C75" s="69" t="s">
        <v>348</v>
      </c>
      <c r="D75" s="24" t="s">
        <v>665</v>
      </c>
      <c r="E75" s="132">
        <v>0.97958999999999996</v>
      </c>
      <c r="F75" s="75">
        <v>70.16</v>
      </c>
      <c r="G75" s="1"/>
    </row>
    <row r="76" spans="1:7" ht="18" hidden="1" x14ac:dyDescent="0.3">
      <c r="A76" s="68">
        <v>75</v>
      </c>
      <c r="B76" s="69">
        <v>80673111</v>
      </c>
      <c r="C76" s="69" t="s">
        <v>529</v>
      </c>
      <c r="D76" s="24" t="s">
        <v>672</v>
      </c>
      <c r="E76" s="132">
        <v>0.97958999999999996</v>
      </c>
      <c r="F76" s="135">
        <v>56.75</v>
      </c>
      <c r="G76" s="1"/>
    </row>
    <row r="77" spans="1:7" ht="18" hidden="1" x14ac:dyDescent="0.3">
      <c r="A77" s="68">
        <v>76</v>
      </c>
      <c r="B77" s="69">
        <v>80672799</v>
      </c>
      <c r="C77" s="69" t="s">
        <v>584</v>
      </c>
      <c r="D77" s="24" t="s">
        <v>673</v>
      </c>
      <c r="E77" s="132">
        <v>0.97957000000000005</v>
      </c>
      <c r="F77" s="85">
        <v>57.15</v>
      </c>
      <c r="G77" s="1"/>
    </row>
    <row r="78" spans="1:7" ht="18" hidden="1" x14ac:dyDescent="0.3">
      <c r="A78" s="68">
        <v>77</v>
      </c>
      <c r="B78" s="69">
        <v>80663633</v>
      </c>
      <c r="C78" s="69" t="s">
        <v>424</v>
      </c>
      <c r="D78" s="24" t="s">
        <v>655</v>
      </c>
      <c r="E78" s="132">
        <v>0.97955000000000003</v>
      </c>
      <c r="F78" s="136">
        <v>55.75</v>
      </c>
      <c r="G78" s="1"/>
    </row>
    <row r="79" spans="1:7" ht="18" hidden="1" x14ac:dyDescent="0.3">
      <c r="A79" s="68">
        <v>78</v>
      </c>
      <c r="B79" s="69">
        <v>80670974</v>
      </c>
      <c r="C79" s="69" t="s">
        <v>423</v>
      </c>
      <c r="D79" s="24" t="s">
        <v>655</v>
      </c>
      <c r="E79" s="132">
        <v>0.97940000000000005</v>
      </c>
      <c r="F79" s="137">
        <v>64.5</v>
      </c>
      <c r="G79" s="1"/>
    </row>
    <row r="80" spans="1:7" ht="18" hidden="1" x14ac:dyDescent="0.3">
      <c r="A80" s="68">
        <v>79</v>
      </c>
      <c r="B80" s="69">
        <v>80666874</v>
      </c>
      <c r="C80" s="69" t="s">
        <v>486</v>
      </c>
      <c r="D80" s="24" t="s">
        <v>624</v>
      </c>
      <c r="E80" s="132">
        <v>0.97940000000000005</v>
      </c>
      <c r="F80" s="138">
        <v>61.72</v>
      </c>
      <c r="G80" s="1"/>
    </row>
    <row r="81" spans="1:7" ht="18" hidden="1" x14ac:dyDescent="0.3">
      <c r="A81" s="68">
        <v>80</v>
      </c>
      <c r="B81" s="69">
        <v>80660864</v>
      </c>
      <c r="C81" s="69" t="s">
        <v>493</v>
      </c>
      <c r="D81" s="24" t="s">
        <v>652</v>
      </c>
      <c r="E81" s="132">
        <v>0.97940000000000005</v>
      </c>
      <c r="F81" s="125">
        <v>56.8</v>
      </c>
      <c r="G81" s="1"/>
    </row>
    <row r="82" spans="1:7" ht="18" hidden="1" x14ac:dyDescent="0.3">
      <c r="A82" s="68">
        <v>81</v>
      </c>
      <c r="B82" s="69">
        <v>80671871</v>
      </c>
      <c r="C82" s="69" t="s">
        <v>354</v>
      </c>
      <c r="D82" s="24" t="s">
        <v>659</v>
      </c>
      <c r="E82" s="132">
        <v>0.97938000000000003</v>
      </c>
      <c r="F82" s="84">
        <v>57.63</v>
      </c>
      <c r="G82" s="1"/>
    </row>
    <row r="83" spans="1:7" ht="18" hidden="1" x14ac:dyDescent="0.3">
      <c r="A83" s="68">
        <v>82</v>
      </c>
      <c r="B83" s="69">
        <v>80672160</v>
      </c>
      <c r="C83" s="69" t="s">
        <v>341</v>
      </c>
      <c r="D83" s="24" t="s">
        <v>653</v>
      </c>
      <c r="E83" s="139">
        <v>0.97933000000000003</v>
      </c>
      <c r="F83" s="84">
        <v>57.81</v>
      </c>
      <c r="G83" s="1"/>
    </row>
    <row r="84" spans="1:7" ht="18" hidden="1" x14ac:dyDescent="0.3">
      <c r="A84" s="68">
        <v>83</v>
      </c>
      <c r="B84" s="69">
        <v>80664676</v>
      </c>
      <c r="C84" s="69" t="s">
        <v>373</v>
      </c>
      <c r="D84" s="24" t="s">
        <v>616</v>
      </c>
      <c r="E84" s="139">
        <v>0.97931000000000001</v>
      </c>
      <c r="F84" s="131">
        <v>62.53</v>
      </c>
      <c r="G84" s="1"/>
    </row>
    <row r="85" spans="1:7" ht="18" hidden="1" x14ac:dyDescent="0.3">
      <c r="A85" s="68">
        <v>84</v>
      </c>
      <c r="B85" s="69">
        <v>80664551</v>
      </c>
      <c r="C85" s="69" t="s">
        <v>582</v>
      </c>
      <c r="D85" s="24" t="s">
        <v>673</v>
      </c>
      <c r="E85" s="139">
        <v>0.97926000000000002</v>
      </c>
      <c r="F85" s="140">
        <v>95.1</v>
      </c>
      <c r="G85" s="1"/>
    </row>
    <row r="86" spans="1:7" ht="18" hidden="1" x14ac:dyDescent="0.3">
      <c r="A86" s="68">
        <v>85</v>
      </c>
      <c r="B86" s="69">
        <v>80660287</v>
      </c>
      <c r="C86" s="69" t="s">
        <v>198</v>
      </c>
      <c r="D86" s="24" t="s">
        <v>631</v>
      </c>
      <c r="E86" s="139">
        <v>0.97923000000000004</v>
      </c>
      <c r="F86" s="141">
        <v>83.29</v>
      </c>
      <c r="G86" s="1"/>
    </row>
    <row r="87" spans="1:7" ht="18" hidden="1" x14ac:dyDescent="0.3">
      <c r="A87" s="68">
        <v>86</v>
      </c>
      <c r="B87" s="69">
        <v>80664539</v>
      </c>
      <c r="C87" s="69" t="s">
        <v>200</v>
      </c>
      <c r="D87" s="24" t="s">
        <v>631</v>
      </c>
      <c r="E87" s="139">
        <v>0.97923000000000004</v>
      </c>
      <c r="F87" s="142">
        <v>75.150000000000006</v>
      </c>
      <c r="G87" s="1"/>
    </row>
    <row r="88" spans="1:7" ht="18" hidden="1" x14ac:dyDescent="0.3">
      <c r="A88" s="68">
        <v>87</v>
      </c>
      <c r="B88" s="69">
        <v>80669276</v>
      </c>
      <c r="C88" s="69" t="s">
        <v>551</v>
      </c>
      <c r="D88" s="24" t="s">
        <v>662</v>
      </c>
      <c r="E88" s="139">
        <v>0.97918000000000005</v>
      </c>
      <c r="F88" s="120">
        <v>65.8</v>
      </c>
      <c r="G88" s="1"/>
    </row>
    <row r="89" spans="1:7" ht="18" hidden="1" x14ac:dyDescent="0.3">
      <c r="A89" s="68">
        <v>88</v>
      </c>
      <c r="B89" s="69">
        <v>80668531</v>
      </c>
      <c r="C89" s="69" t="s">
        <v>31</v>
      </c>
      <c r="D89" s="24" t="s">
        <v>627</v>
      </c>
      <c r="E89" s="139">
        <v>0.97914000000000001</v>
      </c>
      <c r="F89" s="90">
        <v>59.55</v>
      </c>
      <c r="G89" s="1"/>
    </row>
    <row r="90" spans="1:7" ht="18" hidden="1" x14ac:dyDescent="0.3">
      <c r="A90" s="68">
        <v>89</v>
      </c>
      <c r="B90" s="69">
        <v>80672641</v>
      </c>
      <c r="C90" s="69" t="s">
        <v>583</v>
      </c>
      <c r="D90" s="24" t="s">
        <v>673</v>
      </c>
      <c r="E90" s="139">
        <v>0.97912999999999994</v>
      </c>
      <c r="F90" s="94">
        <v>59.11</v>
      </c>
      <c r="G90" s="1"/>
    </row>
    <row r="91" spans="1:7" ht="18" hidden="1" x14ac:dyDescent="0.3">
      <c r="A91" s="68">
        <v>90</v>
      </c>
      <c r="B91" s="69">
        <v>80661431</v>
      </c>
      <c r="C91" s="69" t="s">
        <v>489</v>
      </c>
      <c r="D91" s="24" t="s">
        <v>624</v>
      </c>
      <c r="E91" s="139">
        <v>0.97899999999999998</v>
      </c>
      <c r="F91" s="143">
        <v>60.32</v>
      </c>
      <c r="G91" s="1"/>
    </row>
    <row r="92" spans="1:7" ht="18" hidden="1" x14ac:dyDescent="0.3">
      <c r="A92" s="68">
        <v>91</v>
      </c>
      <c r="B92" s="69">
        <v>80672849</v>
      </c>
      <c r="C92" s="69" t="s">
        <v>474</v>
      </c>
      <c r="D92" s="24" t="s">
        <v>674</v>
      </c>
      <c r="E92" s="144">
        <v>0.97889000000000004</v>
      </c>
      <c r="F92" s="118">
        <v>74.150000000000006</v>
      </c>
      <c r="G92" s="1"/>
    </row>
    <row r="93" spans="1:7" ht="18" hidden="1" x14ac:dyDescent="0.3">
      <c r="A93" s="68">
        <v>92</v>
      </c>
      <c r="B93" s="69">
        <v>80665325</v>
      </c>
      <c r="C93" s="69" t="s">
        <v>111</v>
      </c>
      <c r="D93" s="24" t="s">
        <v>634</v>
      </c>
      <c r="E93" s="144">
        <v>0.97879000000000005</v>
      </c>
      <c r="F93" s="130">
        <v>65.64</v>
      </c>
      <c r="G93" s="1"/>
    </row>
    <row r="94" spans="1:7" ht="18" hidden="1" x14ac:dyDescent="0.3">
      <c r="A94" s="68">
        <v>93</v>
      </c>
      <c r="B94" s="69">
        <v>80673599</v>
      </c>
      <c r="C94" s="69" t="s">
        <v>80</v>
      </c>
      <c r="D94" s="24" t="s">
        <v>667</v>
      </c>
      <c r="E94" s="144">
        <v>0.97875999999999996</v>
      </c>
      <c r="F94" s="145">
        <v>55.55</v>
      </c>
      <c r="G94" s="1"/>
    </row>
    <row r="95" spans="1:7" ht="18" hidden="1" x14ac:dyDescent="0.3">
      <c r="A95" s="68">
        <v>94</v>
      </c>
      <c r="B95" s="69">
        <v>80671164</v>
      </c>
      <c r="C95" s="69" t="s">
        <v>609</v>
      </c>
      <c r="D95" s="24" t="s">
        <v>675</v>
      </c>
      <c r="E95" s="144">
        <v>0.97872000000000003</v>
      </c>
      <c r="F95" s="133">
        <v>58.78</v>
      </c>
      <c r="G95" s="1"/>
    </row>
    <row r="96" spans="1:7" ht="18" hidden="1" x14ac:dyDescent="0.3">
      <c r="A96" s="68">
        <v>95</v>
      </c>
      <c r="B96" s="69">
        <v>80672634</v>
      </c>
      <c r="C96" s="69" t="s">
        <v>375</v>
      </c>
      <c r="D96" s="24" t="s">
        <v>616</v>
      </c>
      <c r="E96" s="144">
        <v>0.97865000000000002</v>
      </c>
      <c r="F96" s="80">
        <v>66.260000000000005</v>
      </c>
      <c r="G96" s="1"/>
    </row>
    <row r="97" spans="1:7" ht="18" hidden="1" x14ac:dyDescent="0.3">
      <c r="A97" s="68">
        <v>96</v>
      </c>
      <c r="B97" s="69">
        <v>80664150</v>
      </c>
      <c r="C97" s="69" t="s">
        <v>473</v>
      </c>
      <c r="D97" s="24" t="s">
        <v>674</v>
      </c>
      <c r="E97" s="144">
        <v>0.97860999999999998</v>
      </c>
      <c r="F97" s="146">
        <v>62.84</v>
      </c>
      <c r="G97" s="1"/>
    </row>
    <row r="98" spans="1:7" ht="18" hidden="1" x14ac:dyDescent="0.3">
      <c r="A98" s="68">
        <v>97</v>
      </c>
      <c r="B98" s="69">
        <v>80671872</v>
      </c>
      <c r="C98" s="69" t="s">
        <v>145</v>
      </c>
      <c r="D98" s="24" t="s">
        <v>637</v>
      </c>
      <c r="E98" s="144">
        <v>0.97858999999999996</v>
      </c>
      <c r="F98" s="87">
        <v>55.21</v>
      </c>
      <c r="G98" s="1"/>
    </row>
    <row r="99" spans="1:7" ht="18" hidden="1" x14ac:dyDescent="0.3">
      <c r="A99" s="68">
        <v>98</v>
      </c>
      <c r="B99" s="69">
        <v>80663631</v>
      </c>
      <c r="C99" s="69" t="s">
        <v>74</v>
      </c>
      <c r="D99" s="24" t="s">
        <v>656</v>
      </c>
      <c r="E99" s="144">
        <v>0.97853000000000001</v>
      </c>
      <c r="F99" s="88">
        <v>53.8</v>
      </c>
      <c r="G99" s="1"/>
    </row>
    <row r="100" spans="1:7" ht="18" hidden="1" x14ac:dyDescent="0.3">
      <c r="A100" s="68">
        <v>99</v>
      </c>
      <c r="B100" s="69">
        <v>80668530</v>
      </c>
      <c r="C100" s="69" t="s">
        <v>320</v>
      </c>
      <c r="D100" s="24" t="s">
        <v>676</v>
      </c>
      <c r="E100" s="144">
        <v>0.97846999999999995</v>
      </c>
      <c r="F100" s="82">
        <v>60.88</v>
      </c>
      <c r="G100" s="1"/>
    </row>
    <row r="101" spans="1:7" ht="18" hidden="1" x14ac:dyDescent="0.3">
      <c r="A101" s="68">
        <v>100</v>
      </c>
      <c r="B101" s="69">
        <v>80668522</v>
      </c>
      <c r="C101" s="69" t="s">
        <v>470</v>
      </c>
      <c r="D101" s="24" t="s">
        <v>671</v>
      </c>
      <c r="E101" s="147">
        <v>0.97843999999999998</v>
      </c>
      <c r="F101" s="148">
        <v>79.290000000000006</v>
      </c>
      <c r="G101" s="1"/>
    </row>
    <row r="102" spans="1:7" ht="18" hidden="1" x14ac:dyDescent="0.3">
      <c r="A102" s="68">
        <v>101</v>
      </c>
      <c r="B102" s="69">
        <v>80673118</v>
      </c>
      <c r="C102" s="69" t="s">
        <v>237</v>
      </c>
      <c r="D102" s="24" t="s">
        <v>669</v>
      </c>
      <c r="E102" s="149">
        <v>0.97799999999999998</v>
      </c>
      <c r="F102" s="116">
        <v>75.5</v>
      </c>
      <c r="G102" s="1"/>
    </row>
    <row r="103" spans="1:7" ht="18" hidden="1" x14ac:dyDescent="0.3">
      <c r="A103" s="68">
        <v>102</v>
      </c>
      <c r="B103" s="69">
        <v>80672170</v>
      </c>
      <c r="C103" s="69" t="s">
        <v>214</v>
      </c>
      <c r="D103" s="24" t="s">
        <v>677</v>
      </c>
      <c r="E103" s="149">
        <v>0.97799999999999998</v>
      </c>
      <c r="F103" s="95">
        <v>68.56</v>
      </c>
      <c r="G103" s="1"/>
    </row>
    <row r="104" spans="1:7" ht="18" hidden="1" x14ac:dyDescent="0.3">
      <c r="A104" s="68">
        <v>103</v>
      </c>
      <c r="B104" s="69">
        <v>80672807</v>
      </c>
      <c r="C104" s="69" t="s">
        <v>260</v>
      </c>
      <c r="D104" s="24" t="s">
        <v>628</v>
      </c>
      <c r="E104" s="149">
        <v>0.97799999999999998</v>
      </c>
      <c r="F104" s="124">
        <v>61.94</v>
      </c>
      <c r="G104" s="1"/>
    </row>
    <row r="105" spans="1:7" ht="18" hidden="1" x14ac:dyDescent="0.3">
      <c r="A105" s="68">
        <v>104</v>
      </c>
      <c r="B105" s="69">
        <v>80671808</v>
      </c>
      <c r="C105" s="69" t="s">
        <v>380</v>
      </c>
      <c r="D105" s="24" t="s">
        <v>666</v>
      </c>
      <c r="E105" s="149">
        <v>0.97799999999999998</v>
      </c>
      <c r="F105" s="90">
        <v>59.5</v>
      </c>
      <c r="G105" s="1"/>
    </row>
    <row r="106" spans="1:7" ht="18" hidden="1" x14ac:dyDescent="0.3">
      <c r="A106" s="68">
        <v>105</v>
      </c>
      <c r="B106" s="69">
        <v>80665339</v>
      </c>
      <c r="C106" s="69" t="s">
        <v>563</v>
      </c>
      <c r="D106" s="24" t="s">
        <v>678</v>
      </c>
      <c r="E106" s="149">
        <v>0.97799999999999998</v>
      </c>
      <c r="F106" s="84">
        <v>57.59</v>
      </c>
      <c r="G106" s="1"/>
    </row>
    <row r="107" spans="1:7" ht="18" hidden="1" x14ac:dyDescent="0.3">
      <c r="A107" s="68">
        <v>106</v>
      </c>
      <c r="B107" s="69">
        <v>80673612</v>
      </c>
      <c r="C107" s="69" t="s">
        <v>418</v>
      </c>
      <c r="D107" s="24" t="s">
        <v>647</v>
      </c>
      <c r="E107" s="149">
        <v>0.97799999999999998</v>
      </c>
      <c r="F107" s="125">
        <v>57.05</v>
      </c>
      <c r="G107" s="1"/>
    </row>
    <row r="108" spans="1:7" ht="18" hidden="1" x14ac:dyDescent="0.3">
      <c r="A108" s="68">
        <v>107</v>
      </c>
      <c r="B108" s="69">
        <v>80668524</v>
      </c>
      <c r="C108" s="69" t="s">
        <v>332</v>
      </c>
      <c r="D108" s="24" t="s">
        <v>657</v>
      </c>
      <c r="E108" s="149">
        <v>0.97799999999999998</v>
      </c>
      <c r="F108" s="135">
        <v>56.65</v>
      </c>
      <c r="G108" s="1"/>
    </row>
    <row r="109" spans="1:7" ht="18" hidden="1" x14ac:dyDescent="0.3">
      <c r="A109" s="68">
        <v>108</v>
      </c>
      <c r="B109" s="69">
        <v>80667642</v>
      </c>
      <c r="C109" s="69" t="s">
        <v>417</v>
      </c>
      <c r="D109" s="24" t="s">
        <v>647</v>
      </c>
      <c r="E109" s="149">
        <v>0.97789999999999999</v>
      </c>
      <c r="F109" s="150">
        <v>55.59</v>
      </c>
      <c r="G109" s="1"/>
    </row>
    <row r="110" spans="1:7" ht="18" hidden="1" x14ac:dyDescent="0.3">
      <c r="A110" s="68">
        <v>109</v>
      </c>
      <c r="B110" s="69">
        <v>80668953</v>
      </c>
      <c r="C110" s="69" t="s">
        <v>453</v>
      </c>
      <c r="D110" s="24" t="s">
        <v>640</v>
      </c>
      <c r="E110" s="149">
        <v>0.97782999999999998</v>
      </c>
      <c r="F110" s="122">
        <v>63.37</v>
      </c>
      <c r="G110" s="1"/>
    </row>
    <row r="111" spans="1:7" ht="18" hidden="1" x14ac:dyDescent="0.3">
      <c r="A111" s="68">
        <v>110</v>
      </c>
      <c r="B111" s="69">
        <v>80673124</v>
      </c>
      <c r="C111" s="69" t="s">
        <v>245</v>
      </c>
      <c r="D111" s="24" t="s">
        <v>658</v>
      </c>
      <c r="E111" s="149">
        <v>0.97779000000000005</v>
      </c>
      <c r="F111" s="135">
        <v>56.58</v>
      </c>
      <c r="G111" s="1"/>
    </row>
    <row r="112" spans="1:7" ht="18" hidden="1" x14ac:dyDescent="0.3">
      <c r="A112" s="68">
        <v>111</v>
      </c>
      <c r="B112" s="69">
        <v>80665547</v>
      </c>
      <c r="C112" s="69" t="s">
        <v>125</v>
      </c>
      <c r="D112" s="24" t="s">
        <v>646</v>
      </c>
      <c r="E112" s="149">
        <v>0.97775000000000001</v>
      </c>
      <c r="F112" s="151">
        <v>70.72</v>
      </c>
      <c r="G112" s="1"/>
    </row>
    <row r="113" spans="1:7" ht="18" hidden="1" x14ac:dyDescent="0.3">
      <c r="A113" s="68">
        <v>112</v>
      </c>
      <c r="B113" s="69">
        <v>80671816</v>
      </c>
      <c r="C113" s="69" t="s">
        <v>212</v>
      </c>
      <c r="D113" s="24" t="s">
        <v>677</v>
      </c>
      <c r="E113" s="149">
        <v>0.97758999999999996</v>
      </c>
      <c r="F113" s="152">
        <v>54.95</v>
      </c>
      <c r="G113" s="1"/>
    </row>
    <row r="114" spans="1:7" ht="18" hidden="1" x14ac:dyDescent="0.3">
      <c r="A114" s="68">
        <v>113</v>
      </c>
      <c r="B114" s="69">
        <v>80672645</v>
      </c>
      <c r="C114" s="69" t="s">
        <v>199</v>
      </c>
      <c r="D114" s="24" t="s">
        <v>631</v>
      </c>
      <c r="E114" s="153">
        <v>0.97750000000000004</v>
      </c>
      <c r="F114" s="90">
        <v>59.61</v>
      </c>
      <c r="G114" s="1"/>
    </row>
    <row r="115" spans="1:7" ht="18" hidden="1" x14ac:dyDescent="0.3">
      <c r="A115" s="68">
        <v>114</v>
      </c>
      <c r="B115" s="69">
        <v>80661199</v>
      </c>
      <c r="C115" s="69" t="s">
        <v>608</v>
      </c>
      <c r="D115" s="24" t="s">
        <v>675</v>
      </c>
      <c r="E115" s="153">
        <v>0.97716000000000003</v>
      </c>
      <c r="F115" s="145">
        <v>55.5</v>
      </c>
      <c r="G115" s="1"/>
    </row>
    <row r="116" spans="1:7" ht="18" hidden="1" x14ac:dyDescent="0.3">
      <c r="A116" s="68">
        <v>115</v>
      </c>
      <c r="B116" s="69">
        <v>80664681</v>
      </c>
      <c r="C116" s="69" t="s">
        <v>259</v>
      </c>
      <c r="D116" s="24" t="s">
        <v>628</v>
      </c>
      <c r="E116" s="153">
        <v>0.97714999999999996</v>
      </c>
      <c r="F116" s="130">
        <v>65.37</v>
      </c>
      <c r="G116" s="1"/>
    </row>
    <row r="117" spans="1:7" ht="18" hidden="1" x14ac:dyDescent="0.3">
      <c r="A117" s="68">
        <v>116</v>
      </c>
      <c r="B117" s="69">
        <v>80666865</v>
      </c>
      <c r="C117" s="69" t="s">
        <v>251</v>
      </c>
      <c r="D117" s="24" t="s">
        <v>636</v>
      </c>
      <c r="E117" s="154">
        <v>0.97687999999999997</v>
      </c>
      <c r="F117" s="126">
        <v>54.25</v>
      </c>
      <c r="G117" s="1"/>
    </row>
    <row r="118" spans="1:7" ht="18" hidden="1" x14ac:dyDescent="0.3">
      <c r="A118" s="68">
        <v>117</v>
      </c>
      <c r="B118" s="69">
        <v>80673107</v>
      </c>
      <c r="C118" s="69" t="s">
        <v>286</v>
      </c>
      <c r="D118" s="24" t="s">
        <v>648</v>
      </c>
      <c r="E118" s="155">
        <v>0.97652000000000005</v>
      </c>
      <c r="F118" s="156">
        <v>54.05</v>
      </c>
      <c r="G118" s="1"/>
    </row>
    <row r="119" spans="1:7" ht="18" hidden="1" x14ac:dyDescent="0.3">
      <c r="A119" s="68">
        <v>118</v>
      </c>
      <c r="B119" s="69">
        <v>80659184</v>
      </c>
      <c r="C119" s="69" t="s">
        <v>56</v>
      </c>
      <c r="D119" s="24" t="s">
        <v>679</v>
      </c>
      <c r="E119" s="155">
        <v>0.97631000000000001</v>
      </c>
      <c r="F119" s="85">
        <v>57.06</v>
      </c>
      <c r="G119" s="1"/>
    </row>
    <row r="120" spans="1:7" ht="18" hidden="1" x14ac:dyDescent="0.3">
      <c r="A120" s="68">
        <v>119</v>
      </c>
      <c r="B120" s="69">
        <v>80672174</v>
      </c>
      <c r="C120" s="69" t="s">
        <v>304</v>
      </c>
      <c r="D120" s="24" t="s">
        <v>642</v>
      </c>
      <c r="E120" s="157">
        <v>0.97604999999999997</v>
      </c>
      <c r="F120" s="158">
        <v>61.13</v>
      </c>
      <c r="G120" s="1"/>
    </row>
    <row r="121" spans="1:7" ht="18" hidden="1" x14ac:dyDescent="0.3">
      <c r="A121" s="68">
        <v>120</v>
      </c>
      <c r="B121" s="69">
        <v>80665553</v>
      </c>
      <c r="C121" s="69" t="s">
        <v>579</v>
      </c>
      <c r="D121" s="24" t="s">
        <v>680</v>
      </c>
      <c r="E121" s="157">
        <v>0.97599999999999998</v>
      </c>
      <c r="F121" s="82">
        <v>60.67</v>
      </c>
      <c r="G121" s="1"/>
    </row>
    <row r="122" spans="1:7" ht="18" hidden="1" x14ac:dyDescent="0.3">
      <c r="A122" s="68">
        <v>121</v>
      </c>
      <c r="B122" s="69">
        <v>80664558</v>
      </c>
      <c r="C122" s="69" t="s">
        <v>358</v>
      </c>
      <c r="D122" s="24" t="s">
        <v>620</v>
      </c>
      <c r="E122" s="157">
        <v>0.97577000000000003</v>
      </c>
      <c r="F122" s="159">
        <v>74</v>
      </c>
      <c r="G122" s="1"/>
    </row>
    <row r="123" spans="1:7" ht="18" hidden="1" x14ac:dyDescent="0.3">
      <c r="A123" s="68">
        <v>122</v>
      </c>
      <c r="B123" s="69">
        <v>80664662</v>
      </c>
      <c r="C123" s="69" t="s">
        <v>267</v>
      </c>
      <c r="D123" s="24" t="s">
        <v>681</v>
      </c>
      <c r="E123" s="160">
        <v>0.97518000000000005</v>
      </c>
      <c r="F123" s="161">
        <v>52.32</v>
      </c>
      <c r="G123" s="1"/>
    </row>
    <row r="124" spans="1:7" ht="18" hidden="1" x14ac:dyDescent="0.3">
      <c r="A124" s="68">
        <v>123</v>
      </c>
      <c r="B124" s="69">
        <v>80658675</v>
      </c>
      <c r="C124" s="69" t="s">
        <v>464</v>
      </c>
      <c r="D124" s="24" t="s">
        <v>663</v>
      </c>
      <c r="E124" s="160">
        <v>0.97516999999999998</v>
      </c>
      <c r="F124" s="106">
        <v>51.89</v>
      </c>
      <c r="G124" s="1"/>
    </row>
    <row r="125" spans="1:7" ht="18" hidden="1" x14ac:dyDescent="0.3">
      <c r="A125" s="68">
        <v>124</v>
      </c>
      <c r="B125" s="69">
        <v>80669292</v>
      </c>
      <c r="C125" s="69" t="s">
        <v>581</v>
      </c>
      <c r="D125" s="24" t="s">
        <v>673</v>
      </c>
      <c r="E125" s="162">
        <v>0.97499999999999998</v>
      </c>
      <c r="F125" s="112">
        <v>56.42</v>
      </c>
      <c r="G125" s="1"/>
    </row>
    <row r="126" spans="1:7" ht="18" hidden="1" x14ac:dyDescent="0.3">
      <c r="A126" s="68">
        <v>125</v>
      </c>
      <c r="B126" s="69">
        <v>80670776</v>
      </c>
      <c r="C126" s="69" t="s">
        <v>211</v>
      </c>
      <c r="D126" s="24" t="s">
        <v>677</v>
      </c>
      <c r="E126" s="163">
        <v>0.97452000000000005</v>
      </c>
      <c r="F126" s="164">
        <v>53.05</v>
      </c>
      <c r="G126" s="1"/>
    </row>
    <row r="127" spans="1:7" ht="18" hidden="1" x14ac:dyDescent="0.3">
      <c r="A127" s="68">
        <v>126</v>
      </c>
      <c r="B127" s="69">
        <v>80664549</v>
      </c>
      <c r="C127" s="69" t="s">
        <v>266</v>
      </c>
      <c r="D127" s="24" t="s">
        <v>681</v>
      </c>
      <c r="E127" s="165">
        <v>0.97435000000000005</v>
      </c>
      <c r="F127" s="166">
        <v>54.74</v>
      </c>
      <c r="G127" s="1"/>
    </row>
    <row r="128" spans="1:7" ht="18" hidden="1" x14ac:dyDescent="0.3">
      <c r="A128" s="68">
        <v>127</v>
      </c>
      <c r="B128" s="69">
        <v>80671158</v>
      </c>
      <c r="C128" s="69" t="s">
        <v>410</v>
      </c>
      <c r="D128" s="24" t="s">
        <v>641</v>
      </c>
      <c r="E128" s="165">
        <v>0.97399999999999998</v>
      </c>
      <c r="F128" s="167">
        <v>71.41</v>
      </c>
      <c r="G128" s="1"/>
    </row>
    <row r="129" spans="1:7" ht="18" hidden="1" x14ac:dyDescent="0.3">
      <c r="A129" s="68">
        <v>128</v>
      </c>
      <c r="B129" s="69">
        <v>80661144</v>
      </c>
      <c r="C129" s="69" t="s">
        <v>276</v>
      </c>
      <c r="D129" s="24" t="s">
        <v>682</v>
      </c>
      <c r="E129" s="168">
        <v>0.97350000000000003</v>
      </c>
      <c r="F129" s="97">
        <v>78.17</v>
      </c>
      <c r="G129" s="1"/>
    </row>
    <row r="130" spans="1:7" ht="18" hidden="1" x14ac:dyDescent="0.3">
      <c r="A130" s="68">
        <v>129</v>
      </c>
      <c r="B130" s="69">
        <v>80668527</v>
      </c>
      <c r="C130" s="69" t="s">
        <v>120</v>
      </c>
      <c r="D130" s="24" t="s">
        <v>618</v>
      </c>
      <c r="E130" s="169">
        <v>0.97219</v>
      </c>
      <c r="F130" s="170">
        <v>50.95</v>
      </c>
      <c r="G130" s="1"/>
    </row>
    <row r="131" spans="1:7" ht="18" hidden="1" x14ac:dyDescent="0.3">
      <c r="A131" s="68">
        <v>130</v>
      </c>
      <c r="B131" s="69">
        <v>80672646</v>
      </c>
      <c r="C131" s="69" t="s">
        <v>351</v>
      </c>
      <c r="D131" s="24" t="s">
        <v>659</v>
      </c>
      <c r="E131" s="171">
        <v>0.97216999999999998</v>
      </c>
      <c r="F131" s="135">
        <v>56.59</v>
      </c>
      <c r="G131" s="1"/>
    </row>
    <row r="132" spans="1:7" ht="18" hidden="1" x14ac:dyDescent="0.3">
      <c r="A132" s="68">
        <v>131</v>
      </c>
      <c r="B132" s="69">
        <v>80661430</v>
      </c>
      <c r="C132" s="69" t="s">
        <v>313</v>
      </c>
      <c r="D132" s="24" t="s">
        <v>664</v>
      </c>
      <c r="E132" s="171">
        <v>0.97214</v>
      </c>
      <c r="F132" s="127">
        <v>49.94</v>
      </c>
      <c r="G132" s="1"/>
    </row>
    <row r="133" spans="1:7" ht="18" hidden="1" x14ac:dyDescent="0.3">
      <c r="A133" s="68">
        <v>132</v>
      </c>
      <c r="B133" s="69">
        <v>80664541</v>
      </c>
      <c r="C133" s="69" t="s">
        <v>603</v>
      </c>
      <c r="D133" s="24" t="s">
        <v>683</v>
      </c>
      <c r="E133" s="171">
        <v>0.97199999999999998</v>
      </c>
      <c r="F133" s="125">
        <v>56.93</v>
      </c>
      <c r="G133" s="1"/>
    </row>
    <row r="134" spans="1:7" ht="18" hidden="1" x14ac:dyDescent="0.3">
      <c r="A134" s="68">
        <v>133</v>
      </c>
      <c r="B134" s="69">
        <v>80673634</v>
      </c>
      <c r="C134" s="69" t="s">
        <v>73</v>
      </c>
      <c r="D134" s="24" t="s">
        <v>656</v>
      </c>
      <c r="E134" s="172">
        <v>0.97175</v>
      </c>
      <c r="F134" s="173">
        <v>82.4</v>
      </c>
      <c r="G134" s="1"/>
    </row>
    <row r="135" spans="1:7" ht="18" hidden="1" x14ac:dyDescent="0.3">
      <c r="A135" s="68">
        <v>134</v>
      </c>
      <c r="B135" s="69">
        <v>80670772</v>
      </c>
      <c r="C135" s="69" t="s">
        <v>479</v>
      </c>
      <c r="D135" s="24" t="s">
        <v>684</v>
      </c>
      <c r="E135" s="174">
        <v>0.97099999999999997</v>
      </c>
      <c r="F135" s="100">
        <v>58.42</v>
      </c>
      <c r="G135" s="1"/>
    </row>
    <row r="136" spans="1:7" ht="18" hidden="1" x14ac:dyDescent="0.3">
      <c r="A136" s="68">
        <v>135</v>
      </c>
      <c r="B136" s="69">
        <v>80672642</v>
      </c>
      <c r="C136" s="69" t="s">
        <v>268</v>
      </c>
      <c r="D136" s="24" t="s">
        <v>681</v>
      </c>
      <c r="E136" s="175">
        <v>0.96955000000000002</v>
      </c>
      <c r="F136" s="156">
        <v>54.06</v>
      </c>
      <c r="G136" s="1"/>
    </row>
    <row r="137" spans="1:7" ht="18" hidden="1" x14ac:dyDescent="0.3">
      <c r="A137" s="68">
        <v>136</v>
      </c>
      <c r="B137" s="69">
        <v>80665188</v>
      </c>
      <c r="C137" s="69" t="s">
        <v>335</v>
      </c>
      <c r="D137" s="24" t="s">
        <v>657</v>
      </c>
      <c r="E137" s="176">
        <v>0.96918000000000004</v>
      </c>
      <c r="F137" s="177">
        <v>51.06</v>
      </c>
      <c r="G137" s="1"/>
    </row>
    <row r="138" spans="1:7" ht="18" hidden="1" x14ac:dyDescent="0.3">
      <c r="A138" s="68">
        <v>137</v>
      </c>
      <c r="B138" s="69">
        <v>80665329</v>
      </c>
      <c r="C138" s="69" t="s">
        <v>357</v>
      </c>
      <c r="D138" s="24" t="s">
        <v>620</v>
      </c>
      <c r="E138" s="178">
        <v>0.96750000000000003</v>
      </c>
      <c r="F138" s="131">
        <v>62.33</v>
      </c>
      <c r="G138" s="1"/>
    </row>
    <row r="139" spans="1:7" ht="18" hidden="1" x14ac:dyDescent="0.3">
      <c r="A139" s="68">
        <v>138</v>
      </c>
      <c r="B139" s="69">
        <v>80671148</v>
      </c>
      <c r="C139" s="69" t="s">
        <v>371</v>
      </c>
      <c r="D139" s="24" t="s">
        <v>616</v>
      </c>
      <c r="E139" s="178">
        <v>0.96750000000000003</v>
      </c>
      <c r="F139" s="84">
        <v>57.63</v>
      </c>
      <c r="G139" s="1"/>
    </row>
    <row r="140" spans="1:7" ht="18" hidden="1" x14ac:dyDescent="0.3">
      <c r="A140" s="68">
        <v>139</v>
      </c>
      <c r="B140" s="69">
        <v>80674456</v>
      </c>
      <c r="C140" s="69" t="s">
        <v>552</v>
      </c>
      <c r="D140" s="24" t="s">
        <v>662</v>
      </c>
      <c r="E140" s="178">
        <v>0.96750000000000003</v>
      </c>
      <c r="F140" s="85">
        <v>57.15</v>
      </c>
      <c r="G140" s="1"/>
    </row>
    <row r="141" spans="1:7" ht="18" hidden="1" x14ac:dyDescent="0.3">
      <c r="A141" s="68">
        <v>140</v>
      </c>
      <c r="B141" s="69">
        <v>80666858</v>
      </c>
      <c r="C141" s="69" t="s">
        <v>460</v>
      </c>
      <c r="D141" s="24" t="s">
        <v>663</v>
      </c>
      <c r="E141" s="178">
        <v>0.96750000000000003</v>
      </c>
      <c r="F141" s="85">
        <v>57.13</v>
      </c>
      <c r="G141" s="1"/>
    </row>
    <row r="142" spans="1:7" ht="18" hidden="1" x14ac:dyDescent="0.3">
      <c r="A142" s="68">
        <v>141</v>
      </c>
      <c r="B142" s="69">
        <v>80660276</v>
      </c>
      <c r="C142" s="69" t="s">
        <v>378</v>
      </c>
      <c r="D142" s="24" t="s">
        <v>666</v>
      </c>
      <c r="E142" s="178">
        <v>0.96750000000000003</v>
      </c>
      <c r="F142" s="112">
        <v>56.35</v>
      </c>
      <c r="G142" s="1"/>
    </row>
    <row r="143" spans="1:7" ht="18" hidden="1" x14ac:dyDescent="0.3">
      <c r="A143" s="68">
        <v>142</v>
      </c>
      <c r="B143" s="69">
        <v>80664672</v>
      </c>
      <c r="C143" s="69" t="s">
        <v>229</v>
      </c>
      <c r="D143" s="24" t="s">
        <v>685</v>
      </c>
      <c r="E143" s="179">
        <v>0.96733000000000002</v>
      </c>
      <c r="F143" s="143">
        <v>60.25</v>
      </c>
      <c r="G143" s="1"/>
    </row>
    <row r="144" spans="1:7" ht="18" x14ac:dyDescent="0.3">
      <c r="A144" s="68">
        <v>143</v>
      </c>
      <c r="B144" s="69">
        <v>80671147</v>
      </c>
      <c r="C144" s="69" t="s">
        <v>365</v>
      </c>
      <c r="D144" s="24" t="s">
        <v>635</v>
      </c>
      <c r="E144" s="179">
        <v>0.96728999999999998</v>
      </c>
      <c r="F144" s="90">
        <v>59.53</v>
      </c>
      <c r="G144" s="1"/>
    </row>
    <row r="145" spans="1:7" ht="18" hidden="1" x14ac:dyDescent="0.3">
      <c r="A145" s="68">
        <v>144</v>
      </c>
      <c r="B145" s="69">
        <v>80661159</v>
      </c>
      <c r="C145" s="69" t="s">
        <v>377</v>
      </c>
      <c r="D145" s="24" t="s">
        <v>666</v>
      </c>
      <c r="E145" s="180">
        <v>0.96621000000000001</v>
      </c>
      <c r="F145" s="87">
        <v>55.28</v>
      </c>
      <c r="G145" s="1"/>
    </row>
    <row r="146" spans="1:7" ht="18" hidden="1" x14ac:dyDescent="0.3">
      <c r="A146" s="68">
        <v>145</v>
      </c>
      <c r="B146" s="69">
        <v>80673108</v>
      </c>
      <c r="C146" s="69" t="s">
        <v>77</v>
      </c>
      <c r="D146" s="24" t="s">
        <v>667</v>
      </c>
      <c r="E146" s="181">
        <v>0.96550000000000002</v>
      </c>
      <c r="F146" s="143">
        <v>60.59</v>
      </c>
      <c r="G146" s="1"/>
    </row>
    <row r="147" spans="1:7" ht="18" hidden="1" x14ac:dyDescent="0.3">
      <c r="A147" s="68">
        <v>146</v>
      </c>
      <c r="B147" s="69">
        <v>80668963</v>
      </c>
      <c r="C147" s="69" t="s">
        <v>307</v>
      </c>
      <c r="D147" s="24" t="s">
        <v>686</v>
      </c>
      <c r="E147" s="182">
        <v>0.96528999999999998</v>
      </c>
      <c r="F147" s="138">
        <v>61.63</v>
      </c>
      <c r="G147" s="1"/>
    </row>
    <row r="148" spans="1:7" ht="18" hidden="1" x14ac:dyDescent="0.3">
      <c r="A148" s="68">
        <v>147</v>
      </c>
      <c r="B148" s="69">
        <v>80668039</v>
      </c>
      <c r="C148" s="69" t="s">
        <v>318</v>
      </c>
      <c r="D148" s="24" t="s">
        <v>664</v>
      </c>
      <c r="E148" s="183">
        <v>0.96353</v>
      </c>
      <c r="F148" s="184">
        <v>49.63</v>
      </c>
      <c r="G148" s="1"/>
    </row>
    <row r="149" spans="1:7" ht="18" hidden="1" x14ac:dyDescent="0.3">
      <c r="A149" s="68">
        <v>148</v>
      </c>
      <c r="B149" s="69">
        <v>80670970</v>
      </c>
      <c r="C149" s="69" t="s">
        <v>538</v>
      </c>
      <c r="D149" s="24" t="s">
        <v>687</v>
      </c>
      <c r="E149" s="183">
        <v>0.96350000000000002</v>
      </c>
      <c r="F149" s="138">
        <v>61.65</v>
      </c>
      <c r="G149" s="1"/>
    </row>
    <row r="150" spans="1:7" ht="18" hidden="1" x14ac:dyDescent="0.3">
      <c r="A150" s="68">
        <v>149</v>
      </c>
      <c r="B150" s="69">
        <v>80660892</v>
      </c>
      <c r="C150" s="69" t="s">
        <v>38</v>
      </c>
      <c r="D150" s="24" t="s">
        <v>638</v>
      </c>
      <c r="E150" s="183">
        <v>0.96343000000000001</v>
      </c>
      <c r="F150" s="185">
        <v>48.42</v>
      </c>
      <c r="G150" s="1"/>
    </row>
    <row r="151" spans="1:7" ht="18" hidden="1" x14ac:dyDescent="0.3">
      <c r="A151" s="68">
        <v>150</v>
      </c>
      <c r="B151" s="69">
        <v>80670971</v>
      </c>
      <c r="C151" s="69" t="s">
        <v>274</v>
      </c>
      <c r="D151" s="24" t="s">
        <v>682</v>
      </c>
      <c r="E151" s="186">
        <v>0.96277000000000001</v>
      </c>
      <c r="F151" s="87">
        <v>55.18</v>
      </c>
      <c r="G151" s="1"/>
    </row>
    <row r="152" spans="1:7" ht="18" hidden="1" x14ac:dyDescent="0.3">
      <c r="A152" s="68">
        <v>151</v>
      </c>
      <c r="B152" s="69">
        <v>80671831</v>
      </c>
      <c r="C152" s="69" t="s">
        <v>537</v>
      </c>
      <c r="D152" s="24" t="s">
        <v>687</v>
      </c>
      <c r="E152" s="187">
        <v>0.96221000000000001</v>
      </c>
      <c r="F152" s="145">
        <v>55.56</v>
      </c>
      <c r="G152" s="1"/>
    </row>
    <row r="153" spans="1:7" ht="18" hidden="1" x14ac:dyDescent="0.3">
      <c r="A153" s="68">
        <v>152</v>
      </c>
      <c r="B153" s="69">
        <v>80666408</v>
      </c>
      <c r="C153" s="69" t="s">
        <v>216</v>
      </c>
      <c r="D153" s="24" t="s">
        <v>677</v>
      </c>
      <c r="E153" s="187">
        <v>0.96201999999999999</v>
      </c>
      <c r="F153" s="188">
        <v>48.85</v>
      </c>
      <c r="G153" s="1"/>
    </row>
    <row r="154" spans="1:7" ht="18" hidden="1" x14ac:dyDescent="0.3">
      <c r="A154" s="68">
        <v>153</v>
      </c>
      <c r="B154" s="69">
        <v>80662047</v>
      </c>
      <c r="C154" s="69" t="s">
        <v>540</v>
      </c>
      <c r="D154" s="24" t="s">
        <v>687</v>
      </c>
      <c r="E154" s="189">
        <v>0.96</v>
      </c>
      <c r="F154" s="190">
        <v>96.2</v>
      </c>
      <c r="G154" s="1"/>
    </row>
    <row r="155" spans="1:7" ht="18" hidden="1" x14ac:dyDescent="0.3">
      <c r="A155" s="68">
        <v>154</v>
      </c>
      <c r="B155" s="69">
        <v>80664147</v>
      </c>
      <c r="C155" s="69" t="s">
        <v>99</v>
      </c>
      <c r="D155" s="24" t="s">
        <v>639</v>
      </c>
      <c r="E155" s="189">
        <v>0.96</v>
      </c>
      <c r="F155" s="191">
        <v>60.16</v>
      </c>
      <c r="G155" s="1"/>
    </row>
    <row r="156" spans="1:7" ht="18" hidden="1" x14ac:dyDescent="0.3">
      <c r="A156" s="68">
        <v>155</v>
      </c>
      <c r="B156" s="69">
        <v>80660891</v>
      </c>
      <c r="C156" s="69" t="s">
        <v>192</v>
      </c>
      <c r="D156" s="24" t="s">
        <v>688</v>
      </c>
      <c r="E156" s="189">
        <v>0.96</v>
      </c>
      <c r="F156" s="87">
        <v>55.2</v>
      </c>
      <c r="G156" s="1"/>
    </row>
    <row r="157" spans="1:7" ht="18" hidden="1" x14ac:dyDescent="0.3">
      <c r="A157" s="68">
        <v>156</v>
      </c>
      <c r="B157" s="69">
        <v>80660885</v>
      </c>
      <c r="C157" s="69" t="s">
        <v>607</v>
      </c>
      <c r="D157" s="24" t="s">
        <v>675</v>
      </c>
      <c r="E157" s="189">
        <v>0.96</v>
      </c>
      <c r="F157" s="166">
        <v>54.75</v>
      </c>
      <c r="G157" s="1"/>
    </row>
    <row r="158" spans="1:7" ht="18" hidden="1" x14ac:dyDescent="0.3">
      <c r="A158" s="68">
        <v>157</v>
      </c>
      <c r="B158" s="69">
        <v>80661226</v>
      </c>
      <c r="C158" s="69" t="s">
        <v>271</v>
      </c>
      <c r="D158" s="24" t="s">
        <v>682</v>
      </c>
      <c r="E158" s="189">
        <v>0.96</v>
      </c>
      <c r="F158" s="161">
        <v>52.42</v>
      </c>
      <c r="G158" s="1"/>
    </row>
    <row r="159" spans="1:7" ht="18" hidden="1" x14ac:dyDescent="0.3">
      <c r="A159" s="68">
        <v>158</v>
      </c>
      <c r="B159" s="69">
        <v>80671150</v>
      </c>
      <c r="C159" s="69" t="s">
        <v>405</v>
      </c>
      <c r="D159" s="24" t="s">
        <v>643</v>
      </c>
      <c r="E159" s="192">
        <v>0.95920000000000005</v>
      </c>
      <c r="F159" s="87">
        <v>55.3</v>
      </c>
      <c r="G159" s="1"/>
    </row>
    <row r="160" spans="1:7" ht="18" hidden="1" x14ac:dyDescent="0.3">
      <c r="A160" s="68">
        <v>159</v>
      </c>
      <c r="B160" s="69">
        <v>80662040</v>
      </c>
      <c r="C160" s="69" t="s">
        <v>390</v>
      </c>
      <c r="D160" s="24" t="s">
        <v>689</v>
      </c>
      <c r="E160" s="193">
        <v>0.95750999999999997</v>
      </c>
      <c r="F160" s="166">
        <v>54.75</v>
      </c>
      <c r="G160" s="1"/>
    </row>
    <row r="161" spans="1:7" ht="18" hidden="1" x14ac:dyDescent="0.3">
      <c r="A161" s="68">
        <v>160</v>
      </c>
      <c r="B161" s="69">
        <v>80666859</v>
      </c>
      <c r="C161" s="69" t="s">
        <v>168</v>
      </c>
      <c r="D161" s="24" t="s">
        <v>690</v>
      </c>
      <c r="E161" s="194">
        <v>0.95660000000000001</v>
      </c>
      <c r="F161" s="94">
        <v>59.41</v>
      </c>
      <c r="G161" s="1"/>
    </row>
    <row r="162" spans="1:7" ht="18" hidden="1" x14ac:dyDescent="0.3">
      <c r="A162" s="68">
        <v>161</v>
      </c>
      <c r="B162" s="69">
        <v>80658687</v>
      </c>
      <c r="C162" s="69" t="s">
        <v>321</v>
      </c>
      <c r="D162" s="24" t="s">
        <v>676</v>
      </c>
      <c r="E162" s="195">
        <v>0.95608000000000004</v>
      </c>
      <c r="F162" s="196">
        <v>75.89</v>
      </c>
      <c r="G162" s="1"/>
    </row>
    <row r="163" spans="1:7" ht="18" hidden="1" x14ac:dyDescent="0.3">
      <c r="A163" s="68">
        <v>162</v>
      </c>
      <c r="B163" s="69">
        <v>80673123</v>
      </c>
      <c r="C163" s="69" t="s">
        <v>324</v>
      </c>
      <c r="D163" s="24" t="s">
        <v>676</v>
      </c>
      <c r="E163" s="197">
        <v>0.95501999999999998</v>
      </c>
      <c r="F163" s="198">
        <v>53.21</v>
      </c>
      <c r="G163" s="1"/>
    </row>
    <row r="164" spans="1:7" ht="18" hidden="1" x14ac:dyDescent="0.3">
      <c r="A164" s="68">
        <v>163</v>
      </c>
      <c r="B164" s="69">
        <v>80660884</v>
      </c>
      <c r="C164" s="69" t="s">
        <v>447</v>
      </c>
      <c r="D164" s="24" t="s">
        <v>691</v>
      </c>
      <c r="E164" s="197">
        <v>0.95499999999999996</v>
      </c>
      <c r="F164" s="137">
        <v>64.5</v>
      </c>
      <c r="G164" s="1"/>
    </row>
    <row r="165" spans="1:7" ht="18" hidden="1" x14ac:dyDescent="0.3">
      <c r="A165" s="68">
        <v>164</v>
      </c>
      <c r="B165" s="69">
        <v>80673618</v>
      </c>
      <c r="C165" s="69" t="s">
        <v>326</v>
      </c>
      <c r="D165" s="24" t="s">
        <v>629</v>
      </c>
      <c r="E165" s="197">
        <v>0.95499999999999996</v>
      </c>
      <c r="F165" s="191">
        <v>60.1</v>
      </c>
      <c r="G165" s="1"/>
    </row>
    <row r="166" spans="1:7" ht="18" hidden="1" x14ac:dyDescent="0.3">
      <c r="A166" s="68">
        <v>165</v>
      </c>
      <c r="B166" s="69">
        <v>80672157</v>
      </c>
      <c r="C166" s="69" t="s">
        <v>45</v>
      </c>
      <c r="D166" s="24" t="s">
        <v>661</v>
      </c>
      <c r="E166" s="197">
        <v>0.95499999999999996</v>
      </c>
      <c r="F166" s="83">
        <v>58</v>
      </c>
      <c r="G166" s="1"/>
    </row>
    <row r="167" spans="1:7" ht="18" hidden="1" x14ac:dyDescent="0.3">
      <c r="A167" s="68">
        <v>166</v>
      </c>
      <c r="B167" s="69">
        <v>80665189</v>
      </c>
      <c r="C167" s="69" t="s">
        <v>252</v>
      </c>
      <c r="D167" s="24" t="s">
        <v>636</v>
      </c>
      <c r="E167" s="197">
        <v>0.95499999999999996</v>
      </c>
      <c r="F167" s="112">
        <v>56.44</v>
      </c>
      <c r="G167" s="1"/>
    </row>
    <row r="168" spans="1:7" ht="18" hidden="1" x14ac:dyDescent="0.3">
      <c r="A168" s="68">
        <v>167</v>
      </c>
      <c r="B168" s="69">
        <v>80674472</v>
      </c>
      <c r="C168" s="69" t="s">
        <v>283</v>
      </c>
      <c r="D168" s="24" t="s">
        <v>692</v>
      </c>
      <c r="E168" s="197">
        <v>0.95499999999999996</v>
      </c>
      <c r="F168" s="88">
        <v>53.67</v>
      </c>
      <c r="G168" s="1"/>
    </row>
    <row r="169" spans="1:7" ht="18" hidden="1" x14ac:dyDescent="0.3">
      <c r="A169" s="68">
        <v>168</v>
      </c>
      <c r="B169" s="69">
        <v>80665321</v>
      </c>
      <c r="C169" s="69" t="s">
        <v>391</v>
      </c>
      <c r="D169" s="24" t="s">
        <v>689</v>
      </c>
      <c r="E169" s="197">
        <v>0.95499999999999996</v>
      </c>
      <c r="F169" s="184">
        <v>49.8</v>
      </c>
      <c r="G169" s="1"/>
    </row>
    <row r="170" spans="1:7" ht="18" hidden="1" x14ac:dyDescent="0.3">
      <c r="A170" s="68">
        <v>169</v>
      </c>
      <c r="B170" s="69">
        <v>80661228</v>
      </c>
      <c r="C170" s="69" t="s">
        <v>143</v>
      </c>
      <c r="D170" s="24" t="s">
        <v>637</v>
      </c>
      <c r="E170" s="197">
        <v>0.95499999999999996</v>
      </c>
      <c r="F170" s="199">
        <v>47.18</v>
      </c>
      <c r="G170" s="1"/>
    </row>
    <row r="171" spans="1:7" ht="18" hidden="1" x14ac:dyDescent="0.3">
      <c r="A171" s="68">
        <v>170</v>
      </c>
      <c r="B171" s="69">
        <v>80673616</v>
      </c>
      <c r="C171" s="69" t="s">
        <v>512</v>
      </c>
      <c r="D171" s="24" t="s">
        <v>693</v>
      </c>
      <c r="E171" s="200">
        <v>0.95479000000000003</v>
      </c>
      <c r="F171" s="143">
        <v>60.4</v>
      </c>
      <c r="G171" s="1"/>
    </row>
    <row r="172" spans="1:7" ht="18" hidden="1" x14ac:dyDescent="0.3">
      <c r="A172" s="68">
        <v>171</v>
      </c>
      <c r="B172" s="69">
        <v>80673122</v>
      </c>
      <c r="C172" s="69" t="s">
        <v>310</v>
      </c>
      <c r="D172" s="24" t="s">
        <v>686</v>
      </c>
      <c r="E172" s="201">
        <v>0.95459000000000005</v>
      </c>
      <c r="F172" s="112">
        <v>56.37</v>
      </c>
      <c r="G172" s="1"/>
    </row>
    <row r="173" spans="1:7" ht="18" hidden="1" x14ac:dyDescent="0.3">
      <c r="A173" s="68">
        <v>172</v>
      </c>
      <c r="B173" s="69">
        <v>80668926</v>
      </c>
      <c r="C173" s="69" t="s">
        <v>282</v>
      </c>
      <c r="D173" s="24" t="s">
        <v>692</v>
      </c>
      <c r="E173" s="201">
        <v>0.95435000000000003</v>
      </c>
      <c r="F173" s="83">
        <v>58.15</v>
      </c>
      <c r="G173" s="1"/>
    </row>
    <row r="174" spans="1:7" ht="18" hidden="1" x14ac:dyDescent="0.3">
      <c r="A174" s="68">
        <v>173</v>
      </c>
      <c r="B174" s="69">
        <v>80664678</v>
      </c>
      <c r="C174" s="69" t="s">
        <v>164</v>
      </c>
      <c r="D174" s="24" t="s">
        <v>690</v>
      </c>
      <c r="E174" s="202">
        <v>0.95399999999999996</v>
      </c>
      <c r="F174" s="94">
        <v>59.05</v>
      </c>
      <c r="G174" s="1"/>
    </row>
    <row r="175" spans="1:7" ht="18" hidden="1" x14ac:dyDescent="0.3">
      <c r="A175" s="68">
        <v>174</v>
      </c>
      <c r="B175" s="69">
        <v>80670964</v>
      </c>
      <c r="C175" s="69" t="s">
        <v>23</v>
      </c>
      <c r="D175" s="24" t="s">
        <v>668</v>
      </c>
      <c r="E175" s="202">
        <v>0.95399999999999996</v>
      </c>
      <c r="F175" s="133">
        <v>58.82</v>
      </c>
      <c r="G175" s="1"/>
    </row>
    <row r="176" spans="1:7" ht="18" hidden="1" x14ac:dyDescent="0.3">
      <c r="A176" s="68">
        <v>175</v>
      </c>
      <c r="B176" s="69">
        <v>80668966</v>
      </c>
      <c r="C176" s="69" t="s">
        <v>328</v>
      </c>
      <c r="D176" s="24" t="s">
        <v>629</v>
      </c>
      <c r="E176" s="202">
        <v>0.95391999999999999</v>
      </c>
      <c r="F176" s="130">
        <v>65.739999999999995</v>
      </c>
      <c r="G176" s="1"/>
    </row>
    <row r="177" spans="1:7" ht="18" hidden="1" x14ac:dyDescent="0.3">
      <c r="A177" s="68">
        <v>176</v>
      </c>
      <c r="B177" s="69">
        <v>80672633</v>
      </c>
      <c r="C177" s="69" t="s">
        <v>34</v>
      </c>
      <c r="D177" s="24" t="s">
        <v>627</v>
      </c>
      <c r="E177" s="203">
        <v>0.95377000000000001</v>
      </c>
      <c r="F177" s="143">
        <v>60.44</v>
      </c>
      <c r="G177" s="1"/>
    </row>
    <row r="178" spans="1:7" ht="18" hidden="1" x14ac:dyDescent="0.3">
      <c r="A178" s="68">
        <v>177</v>
      </c>
      <c r="B178" s="69">
        <v>80672176</v>
      </c>
      <c r="C178" s="69" t="s">
        <v>182</v>
      </c>
      <c r="D178" s="24" t="s">
        <v>694</v>
      </c>
      <c r="E178" s="204">
        <v>0.95282999999999995</v>
      </c>
      <c r="F178" s="138">
        <v>61.5</v>
      </c>
      <c r="G178" s="1"/>
    </row>
    <row r="179" spans="1:7" ht="18" hidden="1" x14ac:dyDescent="0.3">
      <c r="A179" s="68">
        <v>178</v>
      </c>
      <c r="B179" s="69">
        <v>80661445</v>
      </c>
      <c r="C179" s="69" t="s">
        <v>441</v>
      </c>
      <c r="D179" s="24" t="s">
        <v>651</v>
      </c>
      <c r="E179" s="204">
        <v>0.95250000000000001</v>
      </c>
      <c r="F179" s="133">
        <v>58.74</v>
      </c>
      <c r="G179" s="1"/>
    </row>
    <row r="180" spans="1:7" ht="18" hidden="1" x14ac:dyDescent="0.3">
      <c r="A180" s="68">
        <v>179</v>
      </c>
      <c r="B180" s="69">
        <v>80672800</v>
      </c>
      <c r="C180" s="69" t="s">
        <v>475</v>
      </c>
      <c r="D180" s="24" t="s">
        <v>674</v>
      </c>
      <c r="E180" s="205">
        <v>0.95226999999999995</v>
      </c>
      <c r="F180" s="136">
        <v>55.84</v>
      </c>
      <c r="G180" s="1"/>
    </row>
    <row r="181" spans="1:7" ht="18" hidden="1" x14ac:dyDescent="0.3">
      <c r="A181" s="68">
        <v>180</v>
      </c>
      <c r="B181" s="69">
        <v>80669272</v>
      </c>
      <c r="C181" s="69" t="s">
        <v>322</v>
      </c>
      <c r="D181" s="24" t="s">
        <v>676</v>
      </c>
      <c r="E181" s="205">
        <v>0.95226</v>
      </c>
      <c r="F181" s="138">
        <v>61.57</v>
      </c>
      <c r="G181" s="1"/>
    </row>
    <row r="182" spans="1:7" ht="18" hidden="1" x14ac:dyDescent="0.3">
      <c r="A182" s="68">
        <v>181</v>
      </c>
      <c r="B182" s="69">
        <v>80670977</v>
      </c>
      <c r="C182" s="69" t="s">
        <v>174</v>
      </c>
      <c r="D182" s="24" t="s">
        <v>622</v>
      </c>
      <c r="E182" s="205">
        <v>0.95199999999999996</v>
      </c>
      <c r="F182" s="159">
        <v>73.709999999999994</v>
      </c>
      <c r="G182" s="1"/>
    </row>
    <row r="183" spans="1:7" ht="18" hidden="1" x14ac:dyDescent="0.3">
      <c r="A183" s="68">
        <v>182</v>
      </c>
      <c r="B183" s="69">
        <v>80668925</v>
      </c>
      <c r="C183" s="69" t="s">
        <v>193</v>
      </c>
      <c r="D183" s="24" t="s">
        <v>688</v>
      </c>
      <c r="E183" s="206">
        <v>0.95099999999999996</v>
      </c>
      <c r="F183" s="145">
        <v>55.35</v>
      </c>
      <c r="G183" s="1"/>
    </row>
    <row r="184" spans="1:7" ht="18" hidden="1" x14ac:dyDescent="0.3">
      <c r="A184" s="68">
        <v>183</v>
      </c>
      <c r="B184" s="69">
        <v>80663993</v>
      </c>
      <c r="C184" s="69" t="s">
        <v>547</v>
      </c>
      <c r="D184" s="24" t="s">
        <v>695</v>
      </c>
      <c r="E184" s="206">
        <v>0.95072000000000001</v>
      </c>
      <c r="F184" s="93">
        <v>58.54</v>
      </c>
      <c r="G184" s="1"/>
    </row>
    <row r="185" spans="1:7" ht="18" hidden="1" x14ac:dyDescent="0.3">
      <c r="A185" s="68">
        <v>184</v>
      </c>
      <c r="B185" s="69">
        <v>80673106</v>
      </c>
      <c r="C185" s="69" t="s">
        <v>428</v>
      </c>
      <c r="D185" s="24" t="s">
        <v>644</v>
      </c>
      <c r="E185" s="207">
        <v>0.94762999999999997</v>
      </c>
      <c r="F185" s="156">
        <v>54</v>
      </c>
      <c r="G185" s="1"/>
    </row>
    <row r="186" spans="1:7" ht="18" hidden="1" x14ac:dyDescent="0.3">
      <c r="A186" s="68">
        <v>185</v>
      </c>
      <c r="B186" s="69">
        <v>80673101</v>
      </c>
      <c r="C186" s="69" t="s">
        <v>575</v>
      </c>
      <c r="D186" s="24" t="s">
        <v>680</v>
      </c>
      <c r="E186" s="207">
        <v>0.94762999999999997</v>
      </c>
      <c r="F186" s="208">
        <v>50.26</v>
      </c>
      <c r="G186" s="1"/>
    </row>
    <row r="187" spans="1:7" ht="18" hidden="1" x14ac:dyDescent="0.3">
      <c r="A187" s="68">
        <v>186</v>
      </c>
      <c r="B187" s="69">
        <v>80657553</v>
      </c>
      <c r="C187" s="69" t="s">
        <v>610</v>
      </c>
      <c r="D187" s="24" t="s">
        <v>675</v>
      </c>
      <c r="E187" s="209">
        <v>0.94621999999999995</v>
      </c>
      <c r="F187" s="210">
        <v>49.18</v>
      </c>
      <c r="G187" s="1"/>
    </row>
    <row r="188" spans="1:7" ht="18" hidden="1" x14ac:dyDescent="0.3">
      <c r="A188" s="68">
        <v>187</v>
      </c>
      <c r="B188" s="69">
        <v>80661224</v>
      </c>
      <c r="C188" s="69" t="s">
        <v>588</v>
      </c>
      <c r="D188" s="24" t="s">
        <v>696</v>
      </c>
      <c r="E188" s="211">
        <v>0.94</v>
      </c>
      <c r="F188" s="137">
        <v>64.400000000000006</v>
      </c>
      <c r="G188" s="1"/>
    </row>
    <row r="189" spans="1:7" ht="18" hidden="1" x14ac:dyDescent="0.3">
      <c r="A189" s="68">
        <v>188</v>
      </c>
      <c r="B189" s="69">
        <v>80672649</v>
      </c>
      <c r="C189" s="69" t="s">
        <v>180</v>
      </c>
      <c r="D189" s="24" t="s">
        <v>694</v>
      </c>
      <c r="E189" s="211">
        <v>0.94</v>
      </c>
      <c r="F189" s="100">
        <v>58.26</v>
      </c>
      <c r="G189" s="1"/>
    </row>
    <row r="190" spans="1:7" ht="18" hidden="1" x14ac:dyDescent="0.3">
      <c r="A190" s="68">
        <v>189</v>
      </c>
      <c r="B190" s="69">
        <v>80671163</v>
      </c>
      <c r="C190" s="69" t="s">
        <v>231</v>
      </c>
      <c r="D190" s="24" t="s">
        <v>650</v>
      </c>
      <c r="E190" s="211">
        <v>0.94</v>
      </c>
      <c r="F190" s="85">
        <v>57.33</v>
      </c>
      <c r="G190" s="1"/>
    </row>
    <row r="191" spans="1:7" ht="18" hidden="1" x14ac:dyDescent="0.3">
      <c r="A191" s="68">
        <v>190</v>
      </c>
      <c r="B191" s="69">
        <v>80670976</v>
      </c>
      <c r="C191" s="69" t="s">
        <v>78</v>
      </c>
      <c r="D191" s="24" t="s">
        <v>667</v>
      </c>
      <c r="E191" s="211">
        <v>0.94</v>
      </c>
      <c r="F191" s="112">
        <v>56.39</v>
      </c>
      <c r="G191" s="1"/>
    </row>
    <row r="192" spans="1:7" ht="18" hidden="1" x14ac:dyDescent="0.3">
      <c r="A192" s="68">
        <v>191</v>
      </c>
      <c r="B192" s="69">
        <v>80668040</v>
      </c>
      <c r="C192" s="69" t="s">
        <v>66</v>
      </c>
      <c r="D192" s="24" t="s">
        <v>645</v>
      </c>
      <c r="E192" s="211">
        <v>0.94</v>
      </c>
      <c r="F192" s="86">
        <v>55.94</v>
      </c>
      <c r="G192" s="1"/>
    </row>
    <row r="193" spans="1:7" ht="18" hidden="1" x14ac:dyDescent="0.3">
      <c r="A193" s="68">
        <v>192</v>
      </c>
      <c r="B193" s="69">
        <v>80658674</v>
      </c>
      <c r="C193" s="69" t="s">
        <v>400</v>
      </c>
      <c r="D193" s="24" t="s">
        <v>697</v>
      </c>
      <c r="E193" s="211">
        <v>0.94</v>
      </c>
      <c r="F193" s="136">
        <v>55.67</v>
      </c>
      <c r="G193" s="1"/>
    </row>
    <row r="194" spans="1:7" ht="18" hidden="1" x14ac:dyDescent="0.3">
      <c r="A194" s="68">
        <v>193</v>
      </c>
      <c r="B194" s="69">
        <v>80672151</v>
      </c>
      <c r="C194" s="69" t="s">
        <v>170</v>
      </c>
      <c r="D194" s="24" t="s">
        <v>690</v>
      </c>
      <c r="E194" s="211">
        <v>0.94</v>
      </c>
      <c r="F194" s="145">
        <v>55.43</v>
      </c>
      <c r="G194" s="1"/>
    </row>
    <row r="195" spans="1:7" ht="18" hidden="1" x14ac:dyDescent="0.3">
      <c r="A195" s="68">
        <v>194</v>
      </c>
      <c r="B195" s="69">
        <v>80665327</v>
      </c>
      <c r="C195" s="69" t="s">
        <v>462</v>
      </c>
      <c r="D195" s="24" t="s">
        <v>663</v>
      </c>
      <c r="E195" s="211">
        <v>0.94</v>
      </c>
      <c r="F195" s="87">
        <v>55.06</v>
      </c>
      <c r="G195" s="1"/>
    </row>
    <row r="196" spans="1:7" ht="18" hidden="1" x14ac:dyDescent="0.3">
      <c r="A196" s="68">
        <v>195</v>
      </c>
      <c r="B196" s="69">
        <v>80671154</v>
      </c>
      <c r="C196" s="69" t="s">
        <v>289</v>
      </c>
      <c r="D196" s="24" t="s">
        <v>648</v>
      </c>
      <c r="E196" s="212">
        <v>0.93979000000000001</v>
      </c>
      <c r="F196" s="191">
        <v>59.84</v>
      </c>
      <c r="G196" s="1"/>
    </row>
    <row r="197" spans="1:7" ht="18" hidden="1" x14ac:dyDescent="0.3">
      <c r="A197" s="68">
        <v>196</v>
      </c>
      <c r="B197" s="69">
        <v>80665316</v>
      </c>
      <c r="C197" s="69" t="s">
        <v>336</v>
      </c>
      <c r="D197" s="24" t="s">
        <v>657</v>
      </c>
      <c r="E197" s="212">
        <v>0.93967999999999996</v>
      </c>
      <c r="F197" s="83">
        <v>57.89</v>
      </c>
      <c r="G197" s="1"/>
    </row>
    <row r="198" spans="1:7" ht="18" hidden="1" x14ac:dyDescent="0.3">
      <c r="A198" s="68">
        <v>197</v>
      </c>
      <c r="B198" s="69">
        <v>80662062</v>
      </c>
      <c r="C198" s="69" t="s">
        <v>482</v>
      </c>
      <c r="D198" s="24" t="s">
        <v>684</v>
      </c>
      <c r="E198" s="212">
        <v>0.93966000000000005</v>
      </c>
      <c r="F198" s="76">
        <v>68.150000000000006</v>
      </c>
      <c r="G198" s="1"/>
    </row>
    <row r="199" spans="1:7" ht="18" hidden="1" x14ac:dyDescent="0.3">
      <c r="A199" s="68">
        <v>198</v>
      </c>
      <c r="B199" s="69">
        <v>80664154</v>
      </c>
      <c r="C199" s="69" t="s">
        <v>201</v>
      </c>
      <c r="D199" s="24" t="s">
        <v>631</v>
      </c>
      <c r="E199" s="213">
        <v>0.93923000000000001</v>
      </c>
      <c r="F199" s="214">
        <v>69.5</v>
      </c>
      <c r="G199" s="1"/>
    </row>
    <row r="200" spans="1:7" ht="18" hidden="1" x14ac:dyDescent="0.3">
      <c r="A200" s="68">
        <v>199</v>
      </c>
      <c r="B200" s="69">
        <v>80669284</v>
      </c>
      <c r="C200" s="69" t="s">
        <v>399</v>
      </c>
      <c r="D200" s="24" t="s">
        <v>697</v>
      </c>
      <c r="E200" s="213">
        <v>0.93911</v>
      </c>
      <c r="F200" s="145">
        <v>55.5</v>
      </c>
      <c r="G200" s="1"/>
    </row>
    <row r="201" spans="1:7" ht="18" hidden="1" x14ac:dyDescent="0.3">
      <c r="A201" s="68">
        <v>200</v>
      </c>
      <c r="B201" s="69">
        <v>80657853</v>
      </c>
      <c r="C201" s="69" t="s">
        <v>58</v>
      </c>
      <c r="D201" s="24" t="s">
        <v>679</v>
      </c>
      <c r="E201" s="213">
        <v>0.93899999999999995</v>
      </c>
      <c r="F201" s="100">
        <v>58.25</v>
      </c>
      <c r="G201" s="1"/>
    </row>
    <row r="202" spans="1:7" ht="18" hidden="1" x14ac:dyDescent="0.3">
      <c r="A202" s="68">
        <v>201</v>
      </c>
      <c r="B202" s="69">
        <v>80665550</v>
      </c>
      <c r="C202" s="69" t="s">
        <v>50</v>
      </c>
      <c r="D202" s="24" t="s">
        <v>654</v>
      </c>
      <c r="E202" s="215">
        <v>0.9385</v>
      </c>
      <c r="F202" s="198">
        <v>53.07</v>
      </c>
      <c r="G202" s="1"/>
    </row>
    <row r="203" spans="1:7" ht="18" hidden="1" x14ac:dyDescent="0.3">
      <c r="A203" s="68">
        <v>202</v>
      </c>
      <c r="B203" s="69">
        <v>80663076</v>
      </c>
      <c r="C203" s="69" t="s">
        <v>557</v>
      </c>
      <c r="D203" s="24" t="s">
        <v>698</v>
      </c>
      <c r="E203" s="215">
        <v>0.9385</v>
      </c>
      <c r="F203" s="133">
        <v>59</v>
      </c>
      <c r="G203" s="1"/>
    </row>
    <row r="204" spans="1:7" ht="18" hidden="1" x14ac:dyDescent="0.3">
      <c r="A204" s="68">
        <v>203</v>
      </c>
      <c r="B204" s="69">
        <v>80669279</v>
      </c>
      <c r="C204" s="69" t="s">
        <v>265</v>
      </c>
      <c r="D204" s="24" t="s">
        <v>681</v>
      </c>
      <c r="E204" s="215">
        <v>0.93810000000000004</v>
      </c>
      <c r="F204" s="152">
        <v>55.05</v>
      </c>
      <c r="G204" s="1"/>
    </row>
    <row r="205" spans="1:7" ht="18" hidden="1" x14ac:dyDescent="0.3">
      <c r="A205" s="68">
        <v>204</v>
      </c>
      <c r="B205" s="69">
        <v>80666866</v>
      </c>
      <c r="C205" s="69" t="s">
        <v>25</v>
      </c>
      <c r="D205" s="24" t="s">
        <v>668</v>
      </c>
      <c r="E205" s="216">
        <v>0.93799999999999994</v>
      </c>
      <c r="F205" s="90">
        <v>59.44</v>
      </c>
      <c r="G205" s="1"/>
    </row>
    <row r="206" spans="1:7" ht="18" hidden="1" x14ac:dyDescent="0.3">
      <c r="A206" s="68">
        <v>205</v>
      </c>
      <c r="B206" s="69">
        <v>80660886</v>
      </c>
      <c r="C206" s="69" t="s">
        <v>247</v>
      </c>
      <c r="D206" s="24" t="s">
        <v>658</v>
      </c>
      <c r="E206" s="216">
        <v>0.93799999999999994</v>
      </c>
      <c r="F206" s="100">
        <v>58.31</v>
      </c>
      <c r="G206" s="1"/>
    </row>
    <row r="207" spans="1:7" ht="18" hidden="1" x14ac:dyDescent="0.3">
      <c r="A207" s="68">
        <v>206</v>
      </c>
      <c r="B207" s="69">
        <v>80666860</v>
      </c>
      <c r="C207" s="69" t="s">
        <v>490</v>
      </c>
      <c r="D207" s="24" t="s">
        <v>624</v>
      </c>
      <c r="E207" s="216">
        <v>0.93799999999999994</v>
      </c>
      <c r="F207" s="156">
        <v>54.06</v>
      </c>
      <c r="G207" s="1"/>
    </row>
    <row r="208" spans="1:7" ht="18" hidden="1" x14ac:dyDescent="0.3">
      <c r="A208" s="68">
        <v>207</v>
      </c>
      <c r="B208" s="69">
        <v>80672164</v>
      </c>
      <c r="C208" s="69" t="s">
        <v>457</v>
      </c>
      <c r="D208" s="24" t="s">
        <v>640</v>
      </c>
      <c r="E208" s="216">
        <v>0.93779000000000001</v>
      </c>
      <c r="F208" s="152">
        <v>54.81</v>
      </c>
      <c r="G208" s="1"/>
    </row>
    <row r="209" spans="1:7" ht="18" hidden="1" x14ac:dyDescent="0.3">
      <c r="A209" s="68">
        <v>208</v>
      </c>
      <c r="B209" s="69">
        <v>80664674</v>
      </c>
      <c r="C209" s="69" t="s">
        <v>553</v>
      </c>
      <c r="D209" s="24" t="s">
        <v>662</v>
      </c>
      <c r="E209" s="216">
        <v>0.93779000000000001</v>
      </c>
      <c r="F209" s="84">
        <v>57.5</v>
      </c>
      <c r="G209" s="1"/>
    </row>
    <row r="210" spans="1:7" ht="18" hidden="1" x14ac:dyDescent="0.3">
      <c r="A210" s="68">
        <v>209</v>
      </c>
      <c r="B210" s="69">
        <v>80664641</v>
      </c>
      <c r="C210" s="69" t="s">
        <v>288</v>
      </c>
      <c r="D210" s="24" t="s">
        <v>648</v>
      </c>
      <c r="E210" s="217">
        <v>0.93767999999999996</v>
      </c>
      <c r="F210" s="136">
        <v>55.82</v>
      </c>
      <c r="G210" s="1"/>
    </row>
    <row r="211" spans="1:7" ht="18" hidden="1" x14ac:dyDescent="0.3">
      <c r="A211" s="68">
        <v>210</v>
      </c>
      <c r="B211" s="69">
        <v>80673593</v>
      </c>
      <c r="C211" s="69" t="s">
        <v>539</v>
      </c>
      <c r="D211" s="24" t="s">
        <v>687</v>
      </c>
      <c r="E211" s="217">
        <v>0.93764000000000003</v>
      </c>
      <c r="F211" s="152">
        <v>55.05</v>
      </c>
      <c r="G211" s="1"/>
    </row>
    <row r="212" spans="1:7" ht="18" hidden="1" x14ac:dyDescent="0.3">
      <c r="A212" s="68">
        <v>211</v>
      </c>
      <c r="B212" s="69">
        <v>80658939</v>
      </c>
      <c r="C212" s="69" t="s">
        <v>176</v>
      </c>
      <c r="D212" s="24" t="s">
        <v>622</v>
      </c>
      <c r="E212" s="218">
        <v>0.9375</v>
      </c>
      <c r="F212" s="126">
        <v>54.41</v>
      </c>
      <c r="G212" s="1"/>
    </row>
    <row r="213" spans="1:7" ht="18" hidden="1" x14ac:dyDescent="0.3">
      <c r="A213" s="68">
        <v>212</v>
      </c>
      <c r="B213" s="69">
        <v>80662432</v>
      </c>
      <c r="C213" s="69" t="s">
        <v>461</v>
      </c>
      <c r="D213" s="24" t="s">
        <v>663</v>
      </c>
      <c r="E213" s="219">
        <v>0.93623000000000001</v>
      </c>
      <c r="F213" s="166">
        <v>54.56</v>
      </c>
      <c r="G213" s="1"/>
    </row>
    <row r="214" spans="1:7" ht="18" hidden="1" x14ac:dyDescent="0.3">
      <c r="A214" s="68">
        <v>213</v>
      </c>
      <c r="B214" s="69">
        <v>80668046</v>
      </c>
      <c r="C214" s="69" t="s">
        <v>467</v>
      </c>
      <c r="D214" s="24" t="s">
        <v>671</v>
      </c>
      <c r="E214" s="220">
        <v>0.93577999999999995</v>
      </c>
      <c r="F214" s="84">
        <v>57.61</v>
      </c>
      <c r="G214" s="1"/>
    </row>
    <row r="215" spans="1:7" ht="18" hidden="1" x14ac:dyDescent="0.3">
      <c r="A215" s="68">
        <v>214</v>
      </c>
      <c r="B215" s="69">
        <v>80669278</v>
      </c>
      <c r="C215" s="69" t="s">
        <v>239</v>
      </c>
      <c r="D215" s="24" t="s">
        <v>669</v>
      </c>
      <c r="E215" s="220">
        <v>0.93574000000000002</v>
      </c>
      <c r="F215" s="221">
        <v>47.79</v>
      </c>
      <c r="G215" s="1"/>
    </row>
    <row r="216" spans="1:7" ht="18" hidden="1" x14ac:dyDescent="0.3">
      <c r="A216" s="68">
        <v>215</v>
      </c>
      <c r="B216" s="69">
        <v>80663081</v>
      </c>
      <c r="C216" s="69" t="s">
        <v>571</v>
      </c>
      <c r="D216" s="24" t="s">
        <v>632</v>
      </c>
      <c r="E216" s="220">
        <v>0.93572</v>
      </c>
      <c r="F216" s="106">
        <v>51.84</v>
      </c>
      <c r="G216" s="1"/>
    </row>
    <row r="217" spans="1:7" ht="18" hidden="1" x14ac:dyDescent="0.3">
      <c r="A217" s="68">
        <v>216</v>
      </c>
      <c r="B217" s="69">
        <v>80661220</v>
      </c>
      <c r="C217" s="69" t="s">
        <v>124</v>
      </c>
      <c r="D217" s="24" t="s">
        <v>646</v>
      </c>
      <c r="E217" s="220">
        <v>0.93544000000000005</v>
      </c>
      <c r="F217" s="222">
        <v>53.44</v>
      </c>
      <c r="G217" s="1"/>
    </row>
    <row r="218" spans="1:7" ht="18" hidden="1" x14ac:dyDescent="0.3">
      <c r="A218" s="68">
        <v>217</v>
      </c>
      <c r="B218" s="69">
        <v>80669277</v>
      </c>
      <c r="C218" s="69" t="s">
        <v>183</v>
      </c>
      <c r="D218" s="24" t="s">
        <v>694</v>
      </c>
      <c r="E218" s="220">
        <v>0.93542000000000003</v>
      </c>
      <c r="F218" s="223">
        <v>46.44</v>
      </c>
      <c r="G218" s="1"/>
    </row>
    <row r="219" spans="1:7" ht="18" hidden="1" x14ac:dyDescent="0.3">
      <c r="A219" s="68">
        <v>218</v>
      </c>
      <c r="B219" s="69">
        <v>80661433</v>
      </c>
      <c r="C219" s="69" t="s">
        <v>590</v>
      </c>
      <c r="D219" s="24" t="s">
        <v>696</v>
      </c>
      <c r="E219" s="224">
        <v>0.93500000000000005</v>
      </c>
      <c r="F219" s="158">
        <v>61.1</v>
      </c>
      <c r="G219" s="1"/>
    </row>
    <row r="220" spans="1:7" ht="18" hidden="1" x14ac:dyDescent="0.3">
      <c r="A220" s="68">
        <v>219</v>
      </c>
      <c r="B220" s="69">
        <v>80672805</v>
      </c>
      <c r="C220" s="69" t="s">
        <v>188</v>
      </c>
      <c r="D220" s="24" t="s">
        <v>649</v>
      </c>
      <c r="E220" s="225">
        <v>0.93479000000000001</v>
      </c>
      <c r="F220" s="143">
        <v>60.35</v>
      </c>
      <c r="G220" s="1"/>
    </row>
    <row r="221" spans="1:7" ht="18" hidden="1" x14ac:dyDescent="0.3">
      <c r="A221" s="68">
        <v>220</v>
      </c>
      <c r="B221" s="69">
        <v>80667639</v>
      </c>
      <c r="C221" s="69" t="s">
        <v>179</v>
      </c>
      <c r="D221" s="24" t="s">
        <v>694</v>
      </c>
      <c r="E221" s="226">
        <v>0.93452999999999997</v>
      </c>
      <c r="F221" s="198">
        <v>53.17</v>
      </c>
      <c r="G221" s="1"/>
    </row>
    <row r="222" spans="1:7" ht="18" hidden="1" x14ac:dyDescent="0.3">
      <c r="A222" s="68">
        <v>221</v>
      </c>
      <c r="B222" s="69">
        <v>80674462</v>
      </c>
      <c r="C222" s="69" t="s">
        <v>585</v>
      </c>
      <c r="D222" s="24" t="s">
        <v>673</v>
      </c>
      <c r="E222" s="227">
        <v>0.93411</v>
      </c>
      <c r="F222" s="228">
        <v>52.7</v>
      </c>
      <c r="G222" s="1"/>
    </row>
    <row r="223" spans="1:7" ht="18" hidden="1" x14ac:dyDescent="0.3">
      <c r="A223" s="68">
        <v>222</v>
      </c>
      <c r="B223" s="69">
        <v>80659776</v>
      </c>
      <c r="C223" s="69" t="s">
        <v>175</v>
      </c>
      <c r="D223" s="24" t="s">
        <v>622</v>
      </c>
      <c r="E223" s="229">
        <v>0.93283000000000005</v>
      </c>
      <c r="F223" s="85">
        <v>57.22</v>
      </c>
      <c r="G223" s="1"/>
    </row>
    <row r="224" spans="1:7" ht="18" hidden="1" x14ac:dyDescent="0.3">
      <c r="A224" s="68">
        <v>223</v>
      </c>
      <c r="B224" s="69">
        <v>80665546</v>
      </c>
      <c r="C224" s="69" t="s">
        <v>100</v>
      </c>
      <c r="D224" s="24" t="s">
        <v>639</v>
      </c>
      <c r="E224" s="230">
        <v>0.93250999999999995</v>
      </c>
      <c r="F224" s="122">
        <v>63.05</v>
      </c>
      <c r="G224" s="1"/>
    </row>
    <row r="225" spans="1:7" ht="18" hidden="1" x14ac:dyDescent="0.3">
      <c r="A225" s="68">
        <v>224</v>
      </c>
      <c r="B225" s="69">
        <v>80672847</v>
      </c>
      <c r="C225" s="69" t="s">
        <v>491</v>
      </c>
      <c r="D225" s="24" t="s">
        <v>624</v>
      </c>
      <c r="E225" s="231">
        <v>0.93</v>
      </c>
      <c r="F225" s="99">
        <v>64.7</v>
      </c>
      <c r="G225" s="1"/>
    </row>
    <row r="226" spans="1:7" ht="18" hidden="1" x14ac:dyDescent="0.3">
      <c r="A226" s="68">
        <v>225</v>
      </c>
      <c r="B226" s="69">
        <v>80672153</v>
      </c>
      <c r="C226" s="69" t="s">
        <v>238</v>
      </c>
      <c r="D226" s="24" t="s">
        <v>669</v>
      </c>
      <c r="E226" s="231">
        <v>0.93</v>
      </c>
      <c r="F226" s="122">
        <v>63.12</v>
      </c>
      <c r="G226" s="1"/>
    </row>
    <row r="227" spans="1:7" ht="18" hidden="1" x14ac:dyDescent="0.3">
      <c r="A227" s="68">
        <v>226</v>
      </c>
      <c r="B227" s="69">
        <v>80673639</v>
      </c>
      <c r="C227" s="69" t="s">
        <v>169</v>
      </c>
      <c r="D227" s="24" t="s">
        <v>690</v>
      </c>
      <c r="E227" s="231">
        <v>0.93</v>
      </c>
      <c r="F227" s="143">
        <v>60.5</v>
      </c>
      <c r="G227" s="1"/>
    </row>
    <row r="228" spans="1:7" ht="18" hidden="1" x14ac:dyDescent="0.3">
      <c r="A228" s="68">
        <v>227</v>
      </c>
      <c r="B228" s="69">
        <v>80669288</v>
      </c>
      <c r="C228" s="69" t="s">
        <v>303</v>
      </c>
      <c r="D228" s="24" t="s">
        <v>642</v>
      </c>
      <c r="E228" s="231">
        <v>0.93</v>
      </c>
      <c r="F228" s="86">
        <v>56.15</v>
      </c>
      <c r="G228" s="1"/>
    </row>
    <row r="229" spans="1:7" ht="18" hidden="1" x14ac:dyDescent="0.3">
      <c r="A229" s="68">
        <v>228</v>
      </c>
      <c r="B229" s="69">
        <v>80674457</v>
      </c>
      <c r="C229" s="69" t="s">
        <v>515</v>
      </c>
      <c r="D229" s="24" t="s">
        <v>693</v>
      </c>
      <c r="E229" s="232">
        <v>0.92993999999999999</v>
      </c>
      <c r="F229" s="185">
        <v>48.35</v>
      </c>
      <c r="G229" s="1"/>
    </row>
    <row r="230" spans="1:7" ht="18" hidden="1" x14ac:dyDescent="0.3">
      <c r="A230" s="68">
        <v>229</v>
      </c>
      <c r="B230" s="69">
        <v>80661446</v>
      </c>
      <c r="C230" s="69" t="s">
        <v>425</v>
      </c>
      <c r="D230" s="24" t="s">
        <v>655</v>
      </c>
      <c r="E230" s="232">
        <v>0.92981000000000003</v>
      </c>
      <c r="F230" s="156">
        <v>53.95</v>
      </c>
      <c r="G230" s="1"/>
    </row>
    <row r="231" spans="1:7" ht="18" hidden="1" x14ac:dyDescent="0.3">
      <c r="A231" s="68">
        <v>230</v>
      </c>
      <c r="B231" s="69">
        <v>80674447</v>
      </c>
      <c r="C231" s="69" t="s">
        <v>532</v>
      </c>
      <c r="D231" s="24" t="s">
        <v>672</v>
      </c>
      <c r="E231" s="232">
        <v>0.92967</v>
      </c>
      <c r="F231" s="112">
        <v>56.3</v>
      </c>
      <c r="G231" s="1"/>
    </row>
    <row r="232" spans="1:7" ht="18" hidden="1" x14ac:dyDescent="0.3">
      <c r="A232" s="68">
        <v>231</v>
      </c>
      <c r="B232" s="69">
        <v>80674448</v>
      </c>
      <c r="C232" s="69" t="s">
        <v>134</v>
      </c>
      <c r="D232" s="24" t="s">
        <v>699</v>
      </c>
      <c r="E232" s="232">
        <v>0.92920000000000003</v>
      </c>
      <c r="F232" s="228">
        <v>52.75</v>
      </c>
      <c r="G232" s="1"/>
    </row>
    <row r="233" spans="1:7" ht="18" hidden="1" x14ac:dyDescent="0.3">
      <c r="A233" s="68">
        <v>232</v>
      </c>
      <c r="B233" s="69">
        <v>80665340</v>
      </c>
      <c r="C233" s="69" t="s">
        <v>565</v>
      </c>
      <c r="D233" s="24" t="s">
        <v>678</v>
      </c>
      <c r="E233" s="232">
        <v>0.92864000000000002</v>
      </c>
      <c r="F233" s="127">
        <v>50</v>
      </c>
      <c r="G233" s="1"/>
    </row>
    <row r="234" spans="1:7" ht="18" hidden="1" x14ac:dyDescent="0.3">
      <c r="A234" s="68">
        <v>233</v>
      </c>
      <c r="B234" s="69">
        <v>80671162</v>
      </c>
      <c r="C234" s="69" t="s">
        <v>81</v>
      </c>
      <c r="D234" s="24" t="s">
        <v>667</v>
      </c>
      <c r="E234" s="232">
        <v>0.92845999999999995</v>
      </c>
      <c r="F234" s="164">
        <v>52.88</v>
      </c>
      <c r="G234" s="1"/>
    </row>
    <row r="235" spans="1:7" ht="18" hidden="1" x14ac:dyDescent="0.3">
      <c r="A235" s="68">
        <v>234</v>
      </c>
      <c r="B235" s="69">
        <v>80668919</v>
      </c>
      <c r="C235" s="69" t="s">
        <v>22</v>
      </c>
      <c r="D235" s="24" t="s">
        <v>668</v>
      </c>
      <c r="E235" s="233">
        <v>0.92800000000000005</v>
      </c>
      <c r="F235" s="75">
        <v>70.349999999999994</v>
      </c>
      <c r="G235" s="1"/>
    </row>
    <row r="236" spans="1:7" ht="18" hidden="1" x14ac:dyDescent="0.3">
      <c r="A236" s="68">
        <v>235</v>
      </c>
      <c r="B236" s="69">
        <v>80668924</v>
      </c>
      <c r="C236" s="69" t="s">
        <v>86</v>
      </c>
      <c r="D236" s="24" t="s">
        <v>670</v>
      </c>
      <c r="E236" s="233">
        <v>0.92791999999999997</v>
      </c>
      <c r="F236" s="123">
        <v>62.58</v>
      </c>
      <c r="G236" s="1"/>
    </row>
    <row r="237" spans="1:7" ht="18" hidden="1" x14ac:dyDescent="0.3">
      <c r="A237" s="68">
        <v>236</v>
      </c>
      <c r="B237" s="69">
        <v>80673597</v>
      </c>
      <c r="C237" s="69" t="s">
        <v>300</v>
      </c>
      <c r="D237" s="24" t="s">
        <v>642</v>
      </c>
      <c r="E237" s="233">
        <v>0.92769999999999997</v>
      </c>
      <c r="F237" s="124">
        <v>62.1</v>
      </c>
      <c r="G237" s="1"/>
    </row>
    <row r="238" spans="1:7" ht="18" hidden="1" x14ac:dyDescent="0.3">
      <c r="A238" s="68">
        <v>237</v>
      </c>
      <c r="B238" s="69">
        <v>80665544</v>
      </c>
      <c r="C238" s="69" t="s">
        <v>209</v>
      </c>
      <c r="D238" s="24" t="s">
        <v>633</v>
      </c>
      <c r="E238" s="233">
        <v>0.92762999999999995</v>
      </c>
      <c r="F238" s="143">
        <v>60.59</v>
      </c>
      <c r="G238" s="1"/>
    </row>
    <row r="239" spans="1:7" ht="18" hidden="1" x14ac:dyDescent="0.3">
      <c r="A239" s="68">
        <v>238</v>
      </c>
      <c r="B239" s="69">
        <v>80662049</v>
      </c>
      <c r="C239" s="69" t="s">
        <v>278</v>
      </c>
      <c r="D239" s="24" t="s">
        <v>692</v>
      </c>
      <c r="E239" s="233">
        <v>0.92749999999999999</v>
      </c>
      <c r="F239" s="133">
        <v>58.83</v>
      </c>
      <c r="G239" s="1"/>
    </row>
    <row r="240" spans="1:7" ht="18" hidden="1" x14ac:dyDescent="0.3">
      <c r="A240" s="68">
        <v>239</v>
      </c>
      <c r="B240" s="69">
        <v>80664157</v>
      </c>
      <c r="C240" s="69" t="s">
        <v>190</v>
      </c>
      <c r="D240" s="24" t="s">
        <v>649</v>
      </c>
      <c r="E240" s="233">
        <v>0.92749999999999999</v>
      </c>
      <c r="F240" s="133">
        <v>58.67</v>
      </c>
      <c r="G240" s="1"/>
    </row>
    <row r="241" spans="1:7" ht="18" hidden="1" x14ac:dyDescent="0.3">
      <c r="A241" s="68">
        <v>240</v>
      </c>
      <c r="B241" s="69">
        <v>80660298</v>
      </c>
      <c r="C241" s="69" t="s">
        <v>228</v>
      </c>
      <c r="D241" s="24" t="s">
        <v>685</v>
      </c>
      <c r="E241" s="233">
        <v>0.92728999999999995</v>
      </c>
      <c r="F241" s="87">
        <v>55.25</v>
      </c>
      <c r="G241" s="1"/>
    </row>
    <row r="242" spans="1:7" ht="18" hidden="1" x14ac:dyDescent="0.3">
      <c r="A242" s="68">
        <v>241</v>
      </c>
      <c r="B242" s="69">
        <v>80670972</v>
      </c>
      <c r="C242" s="69" t="s">
        <v>530</v>
      </c>
      <c r="D242" s="24" t="s">
        <v>672</v>
      </c>
      <c r="E242" s="233">
        <v>0.92728999999999995</v>
      </c>
      <c r="F242" s="152">
        <v>55</v>
      </c>
      <c r="G242" s="1"/>
    </row>
    <row r="243" spans="1:7" ht="18" hidden="1" x14ac:dyDescent="0.3">
      <c r="A243" s="68">
        <v>242</v>
      </c>
      <c r="B243" s="69">
        <v>80668038</v>
      </c>
      <c r="C243" s="69" t="s">
        <v>346</v>
      </c>
      <c r="D243" s="24" t="s">
        <v>665</v>
      </c>
      <c r="E243" s="233">
        <v>0.92700000000000005</v>
      </c>
      <c r="F243" s="234">
        <v>54.1</v>
      </c>
      <c r="G243" s="1"/>
    </row>
    <row r="244" spans="1:7" ht="18" hidden="1" x14ac:dyDescent="0.3">
      <c r="A244" s="68">
        <v>243</v>
      </c>
      <c r="B244" s="69">
        <v>80660889</v>
      </c>
      <c r="C244" s="69" t="s">
        <v>572</v>
      </c>
      <c r="D244" s="24" t="s">
        <v>632</v>
      </c>
      <c r="E244" s="235">
        <v>0.92664000000000002</v>
      </c>
      <c r="F244" s="122">
        <v>63.2</v>
      </c>
      <c r="G244" s="1"/>
    </row>
    <row r="245" spans="1:7" ht="18" hidden="1" x14ac:dyDescent="0.3">
      <c r="A245" s="68">
        <v>244</v>
      </c>
      <c r="B245" s="69">
        <v>80671800</v>
      </c>
      <c r="C245" s="69" t="s">
        <v>361</v>
      </c>
      <c r="D245" s="24" t="s">
        <v>620</v>
      </c>
      <c r="E245" s="235">
        <v>0.92635000000000001</v>
      </c>
      <c r="F245" s="152">
        <v>54.95</v>
      </c>
      <c r="G245" s="1"/>
    </row>
    <row r="246" spans="1:7" ht="18" hidden="1" x14ac:dyDescent="0.3">
      <c r="A246" s="68">
        <v>245</v>
      </c>
      <c r="B246" s="69">
        <v>80670774</v>
      </c>
      <c r="C246" s="69" t="s">
        <v>422</v>
      </c>
      <c r="D246" s="24" t="s">
        <v>655</v>
      </c>
      <c r="E246" s="235">
        <v>0.92589999999999995</v>
      </c>
      <c r="F246" s="143">
        <v>60.5</v>
      </c>
      <c r="G246" s="1"/>
    </row>
    <row r="247" spans="1:7" ht="18" hidden="1" x14ac:dyDescent="0.3">
      <c r="A247" s="68">
        <v>246</v>
      </c>
      <c r="B247" s="69">
        <v>80661418</v>
      </c>
      <c r="C247" s="69" t="s">
        <v>46</v>
      </c>
      <c r="D247" s="24" t="s">
        <v>661</v>
      </c>
      <c r="E247" s="236">
        <v>0.92310000000000003</v>
      </c>
      <c r="F247" s="170">
        <v>50.79</v>
      </c>
      <c r="G247" s="1"/>
    </row>
    <row r="248" spans="1:7" ht="18" hidden="1" x14ac:dyDescent="0.3">
      <c r="A248" s="68">
        <v>247</v>
      </c>
      <c r="B248" s="69">
        <v>80668520</v>
      </c>
      <c r="C248" s="69" t="s">
        <v>43</v>
      </c>
      <c r="D248" s="24" t="s">
        <v>661</v>
      </c>
      <c r="E248" s="237">
        <v>0.92130999999999996</v>
      </c>
      <c r="F248" s="127">
        <v>50</v>
      </c>
      <c r="G248" s="1"/>
    </row>
    <row r="249" spans="1:7" ht="18" hidden="1" x14ac:dyDescent="0.3">
      <c r="A249" s="68">
        <v>248</v>
      </c>
      <c r="B249" s="69">
        <v>80670968</v>
      </c>
      <c r="C249" s="69" t="s">
        <v>133</v>
      </c>
      <c r="D249" s="24" t="s">
        <v>699</v>
      </c>
      <c r="E249" s="238">
        <v>0.91852999999999996</v>
      </c>
      <c r="F249" s="239">
        <v>52.05</v>
      </c>
      <c r="G249" s="1"/>
    </row>
    <row r="250" spans="1:7" ht="18" hidden="1" x14ac:dyDescent="0.3">
      <c r="A250" s="68">
        <v>249</v>
      </c>
      <c r="B250" s="69">
        <v>80673632</v>
      </c>
      <c r="C250" s="69" t="s">
        <v>275</v>
      </c>
      <c r="D250" s="24" t="s">
        <v>682</v>
      </c>
      <c r="E250" s="238">
        <v>0.91749999999999998</v>
      </c>
      <c r="F250" s="161">
        <v>52.3</v>
      </c>
      <c r="G250" s="1"/>
    </row>
    <row r="251" spans="1:7" ht="18" hidden="1" x14ac:dyDescent="0.3">
      <c r="A251" s="68">
        <v>250</v>
      </c>
      <c r="B251" s="69">
        <v>80658341</v>
      </c>
      <c r="C251" s="69" t="s">
        <v>287</v>
      </c>
      <c r="D251" s="24" t="s">
        <v>648</v>
      </c>
      <c r="E251" s="240">
        <v>0.91500000000000004</v>
      </c>
      <c r="F251" s="241">
        <v>81.400000000000006</v>
      </c>
      <c r="G251" s="1"/>
    </row>
    <row r="252" spans="1:7" ht="18" hidden="1" x14ac:dyDescent="0.3">
      <c r="A252" s="68">
        <v>251</v>
      </c>
      <c r="B252" s="69">
        <v>80666864</v>
      </c>
      <c r="C252" s="69" t="s">
        <v>113</v>
      </c>
      <c r="D252" s="24" t="s">
        <v>634</v>
      </c>
      <c r="E252" s="240">
        <v>0.91500000000000004</v>
      </c>
      <c r="F252" s="83">
        <v>57.9</v>
      </c>
      <c r="G252" s="1"/>
    </row>
    <row r="253" spans="1:7" ht="18" hidden="1" x14ac:dyDescent="0.3">
      <c r="A253" s="68">
        <v>252</v>
      </c>
      <c r="B253" s="69">
        <v>80664682</v>
      </c>
      <c r="C253" s="69" t="s">
        <v>323</v>
      </c>
      <c r="D253" s="24" t="s">
        <v>676</v>
      </c>
      <c r="E253" s="240">
        <v>0.91500000000000004</v>
      </c>
      <c r="F253" s="112">
        <v>56.26</v>
      </c>
      <c r="G253" s="1"/>
    </row>
    <row r="254" spans="1:7" ht="18" hidden="1" x14ac:dyDescent="0.3">
      <c r="A254" s="68">
        <v>253</v>
      </c>
      <c r="B254" s="69">
        <v>80661218</v>
      </c>
      <c r="C254" s="69" t="s">
        <v>213</v>
      </c>
      <c r="D254" s="24" t="s">
        <v>677</v>
      </c>
      <c r="E254" s="240">
        <v>0.91500000000000004</v>
      </c>
      <c r="F254" s="228">
        <v>52.76</v>
      </c>
      <c r="G254" s="1"/>
    </row>
    <row r="255" spans="1:7" ht="18" hidden="1" x14ac:dyDescent="0.3">
      <c r="A255" s="68">
        <v>254</v>
      </c>
      <c r="B255" s="69">
        <v>80661217</v>
      </c>
      <c r="C255" s="69" t="s">
        <v>592</v>
      </c>
      <c r="D255" s="24" t="s">
        <v>696</v>
      </c>
      <c r="E255" s="240">
        <v>0.91432999999999998</v>
      </c>
      <c r="F255" s="135">
        <v>56.68</v>
      </c>
      <c r="G255" s="1"/>
    </row>
    <row r="256" spans="1:7" ht="18" hidden="1" x14ac:dyDescent="0.3">
      <c r="A256" s="68">
        <v>255</v>
      </c>
      <c r="B256" s="69">
        <v>80660874</v>
      </c>
      <c r="C256" s="69" t="s">
        <v>383</v>
      </c>
      <c r="D256" s="24" t="s">
        <v>660</v>
      </c>
      <c r="E256" s="240">
        <v>0.91393999999999997</v>
      </c>
      <c r="F256" s="145">
        <v>55.4</v>
      </c>
      <c r="G256" s="1"/>
    </row>
    <row r="257" spans="1:7" ht="18" hidden="1" x14ac:dyDescent="0.3">
      <c r="A257" s="68">
        <v>256</v>
      </c>
      <c r="B257" s="69">
        <v>80674466</v>
      </c>
      <c r="C257" s="69" t="s">
        <v>54</v>
      </c>
      <c r="D257" s="24" t="s">
        <v>654</v>
      </c>
      <c r="E257" s="242">
        <v>0.91366999999999998</v>
      </c>
      <c r="F257" s="124">
        <v>62</v>
      </c>
      <c r="G257" s="1"/>
    </row>
    <row r="258" spans="1:7" ht="18" hidden="1" x14ac:dyDescent="0.3">
      <c r="A258" s="68">
        <v>257</v>
      </c>
      <c r="B258" s="69">
        <v>80657852</v>
      </c>
      <c r="C258" s="69" t="s">
        <v>255</v>
      </c>
      <c r="D258" s="24" t="s">
        <v>636</v>
      </c>
      <c r="E258" s="242">
        <v>0.91366999999999998</v>
      </c>
      <c r="F258" s="166">
        <v>54.71</v>
      </c>
      <c r="G258" s="1"/>
    </row>
    <row r="259" spans="1:7" ht="18" hidden="1" x14ac:dyDescent="0.3">
      <c r="A259" s="68">
        <v>258</v>
      </c>
      <c r="B259" s="69">
        <v>80658947</v>
      </c>
      <c r="C259" s="69" t="s">
        <v>64</v>
      </c>
      <c r="D259" s="24" t="s">
        <v>645</v>
      </c>
      <c r="E259" s="243">
        <v>0.91283000000000003</v>
      </c>
      <c r="F259" s="100">
        <v>58.35</v>
      </c>
      <c r="G259" s="1"/>
    </row>
    <row r="260" spans="1:7" ht="18" hidden="1" x14ac:dyDescent="0.3">
      <c r="A260" s="68">
        <v>259</v>
      </c>
      <c r="B260" s="69">
        <v>80665328</v>
      </c>
      <c r="C260" s="69" t="s">
        <v>435</v>
      </c>
      <c r="D260" s="24" t="s">
        <v>700</v>
      </c>
      <c r="E260" s="243">
        <v>0.91222999999999999</v>
      </c>
      <c r="F260" s="145">
        <v>55.47</v>
      </c>
      <c r="G260" s="1"/>
    </row>
    <row r="261" spans="1:7" ht="18" hidden="1" x14ac:dyDescent="0.3">
      <c r="A261" s="68">
        <v>260</v>
      </c>
      <c r="B261" s="69">
        <v>80661192</v>
      </c>
      <c r="C261" s="69" t="s">
        <v>279</v>
      </c>
      <c r="D261" s="24" t="s">
        <v>692</v>
      </c>
      <c r="E261" s="244">
        <v>0.91190000000000004</v>
      </c>
      <c r="F261" s="245">
        <v>59.8</v>
      </c>
      <c r="G261" s="1"/>
    </row>
    <row r="262" spans="1:7" ht="18" hidden="1" x14ac:dyDescent="0.3">
      <c r="A262" s="68">
        <v>261</v>
      </c>
      <c r="B262" s="69">
        <v>80658689</v>
      </c>
      <c r="C262" s="69" t="s">
        <v>96</v>
      </c>
      <c r="D262" s="24" t="s">
        <v>639</v>
      </c>
      <c r="E262" s="244">
        <v>0.91146000000000005</v>
      </c>
      <c r="F262" s="246">
        <v>61.28</v>
      </c>
      <c r="G262" s="1"/>
    </row>
    <row r="263" spans="1:7" ht="18" hidden="1" x14ac:dyDescent="0.3">
      <c r="A263" s="68">
        <v>262</v>
      </c>
      <c r="B263" s="69">
        <v>80667201</v>
      </c>
      <c r="C263" s="69" t="s">
        <v>61</v>
      </c>
      <c r="D263" s="24" t="s">
        <v>679</v>
      </c>
      <c r="E263" s="244">
        <v>0.91054000000000002</v>
      </c>
      <c r="F263" s="222">
        <v>53.5</v>
      </c>
      <c r="G263" s="1"/>
    </row>
    <row r="264" spans="1:7" ht="18" hidden="1" x14ac:dyDescent="0.3">
      <c r="A264" s="68">
        <v>263</v>
      </c>
      <c r="B264" s="69">
        <v>80673102</v>
      </c>
      <c r="C264" s="69" t="s">
        <v>560</v>
      </c>
      <c r="D264" s="24" t="s">
        <v>698</v>
      </c>
      <c r="E264" s="247">
        <v>0.91</v>
      </c>
      <c r="F264" s="117">
        <v>74.61</v>
      </c>
      <c r="G264" s="1"/>
    </row>
    <row r="265" spans="1:7" ht="18" hidden="1" x14ac:dyDescent="0.3">
      <c r="A265" s="68">
        <v>264</v>
      </c>
      <c r="B265" s="69">
        <v>80668960</v>
      </c>
      <c r="C265" s="69" t="s">
        <v>495</v>
      </c>
      <c r="D265" s="24" t="s">
        <v>652</v>
      </c>
      <c r="E265" s="247">
        <v>0.91</v>
      </c>
      <c r="F265" s="248">
        <v>70.83</v>
      </c>
      <c r="G265" s="1"/>
    </row>
    <row r="266" spans="1:7" ht="18" hidden="1" x14ac:dyDescent="0.3">
      <c r="A266" s="68">
        <v>265</v>
      </c>
      <c r="B266" s="69">
        <v>80668933</v>
      </c>
      <c r="C266" s="69" t="s">
        <v>225</v>
      </c>
      <c r="D266" s="24" t="s">
        <v>685</v>
      </c>
      <c r="E266" s="247">
        <v>0.91</v>
      </c>
      <c r="F266" s="151">
        <v>70.739999999999995</v>
      </c>
      <c r="G266" s="1"/>
    </row>
    <row r="267" spans="1:7" ht="18" hidden="1" x14ac:dyDescent="0.3">
      <c r="A267" s="68">
        <v>266</v>
      </c>
      <c r="B267" s="69">
        <v>80660861</v>
      </c>
      <c r="C267" s="69" t="s">
        <v>208</v>
      </c>
      <c r="D267" s="24" t="s">
        <v>633</v>
      </c>
      <c r="E267" s="247">
        <v>0.91</v>
      </c>
      <c r="F267" s="131">
        <v>62.3</v>
      </c>
      <c r="G267" s="1"/>
    </row>
    <row r="268" spans="1:7" ht="18" hidden="1" x14ac:dyDescent="0.3">
      <c r="A268" s="68">
        <v>267</v>
      </c>
      <c r="B268" s="69">
        <v>80664542</v>
      </c>
      <c r="C268" s="69" t="s">
        <v>398</v>
      </c>
      <c r="D268" s="24" t="s">
        <v>697</v>
      </c>
      <c r="E268" s="247">
        <v>0.91</v>
      </c>
      <c r="F268" s="158">
        <v>61.05</v>
      </c>
      <c r="G268" s="1"/>
    </row>
    <row r="269" spans="1:7" ht="18" hidden="1" x14ac:dyDescent="0.3">
      <c r="A269" s="68">
        <v>268</v>
      </c>
      <c r="B269" s="69">
        <v>80672810</v>
      </c>
      <c r="C269" s="69" t="s">
        <v>290</v>
      </c>
      <c r="D269" s="24" t="s">
        <v>648</v>
      </c>
      <c r="E269" s="247">
        <v>0.91</v>
      </c>
      <c r="F269" s="82">
        <v>61</v>
      </c>
      <c r="G269" s="1"/>
    </row>
    <row r="270" spans="1:7" ht="18" hidden="1" x14ac:dyDescent="0.3">
      <c r="A270" s="68">
        <v>269</v>
      </c>
      <c r="B270" s="69">
        <v>80673637</v>
      </c>
      <c r="C270" s="69" t="s">
        <v>387</v>
      </c>
      <c r="D270" s="24" t="s">
        <v>660</v>
      </c>
      <c r="E270" s="247">
        <v>0.91</v>
      </c>
      <c r="F270" s="82">
        <v>60.73</v>
      </c>
      <c r="G270" s="1"/>
    </row>
    <row r="271" spans="1:7" ht="18" hidden="1" x14ac:dyDescent="0.3">
      <c r="A271" s="68">
        <v>270</v>
      </c>
      <c r="B271" s="69">
        <v>80670979</v>
      </c>
      <c r="C271" s="69" t="s">
        <v>488</v>
      </c>
      <c r="D271" s="24" t="s">
        <v>624</v>
      </c>
      <c r="E271" s="247">
        <v>0.91</v>
      </c>
      <c r="F271" s="83">
        <v>57.95</v>
      </c>
      <c r="G271" s="1"/>
    </row>
    <row r="272" spans="1:7" ht="18" hidden="1" x14ac:dyDescent="0.3">
      <c r="A272" s="68">
        <v>271</v>
      </c>
      <c r="B272" s="69">
        <v>80671825</v>
      </c>
      <c r="C272" s="69" t="s">
        <v>407</v>
      </c>
      <c r="D272" s="24" t="s">
        <v>643</v>
      </c>
      <c r="E272" s="247">
        <v>0.91</v>
      </c>
      <c r="F272" s="125">
        <v>57</v>
      </c>
      <c r="G272" s="1"/>
    </row>
    <row r="273" spans="1:7" ht="18" hidden="1" x14ac:dyDescent="0.3">
      <c r="A273" s="68">
        <v>272</v>
      </c>
      <c r="B273" s="69">
        <v>80672640</v>
      </c>
      <c r="C273" s="69" t="s">
        <v>269</v>
      </c>
      <c r="D273" s="24" t="s">
        <v>681</v>
      </c>
      <c r="E273" s="247">
        <v>0.91</v>
      </c>
      <c r="F273" s="135">
        <v>56.72</v>
      </c>
      <c r="G273" s="1"/>
    </row>
    <row r="274" spans="1:7" ht="18" hidden="1" x14ac:dyDescent="0.3">
      <c r="A274" s="68">
        <v>273</v>
      </c>
      <c r="B274" s="69">
        <v>80673640</v>
      </c>
      <c r="C274" s="69" t="s">
        <v>401</v>
      </c>
      <c r="D274" s="24" t="s">
        <v>697</v>
      </c>
      <c r="E274" s="247">
        <v>0.90978999999999999</v>
      </c>
      <c r="F274" s="137">
        <v>64.25</v>
      </c>
      <c r="G274" s="1"/>
    </row>
    <row r="275" spans="1:7" ht="18" hidden="1" x14ac:dyDescent="0.3">
      <c r="A275" s="68">
        <v>274</v>
      </c>
      <c r="B275" s="69">
        <v>80658412</v>
      </c>
      <c r="C275" s="69" t="s">
        <v>241</v>
      </c>
      <c r="D275" s="24" t="s">
        <v>669</v>
      </c>
      <c r="E275" s="247">
        <v>0.90969999999999995</v>
      </c>
      <c r="F275" s="136">
        <v>55.83</v>
      </c>
      <c r="G275" s="1"/>
    </row>
    <row r="276" spans="1:7" ht="18" hidden="1" x14ac:dyDescent="0.3">
      <c r="A276" s="68">
        <v>275</v>
      </c>
      <c r="B276" s="69">
        <v>80669281</v>
      </c>
      <c r="C276" s="69" t="s">
        <v>384</v>
      </c>
      <c r="D276" s="24" t="s">
        <v>660</v>
      </c>
      <c r="E276" s="247">
        <v>0.90963000000000005</v>
      </c>
      <c r="F276" s="95">
        <v>68.599999999999994</v>
      </c>
      <c r="G276" s="1"/>
    </row>
    <row r="277" spans="1:7" ht="18" hidden="1" x14ac:dyDescent="0.3">
      <c r="A277" s="68">
        <v>276</v>
      </c>
      <c r="B277" s="69">
        <v>80669274</v>
      </c>
      <c r="C277" s="69" t="s">
        <v>353</v>
      </c>
      <c r="D277" s="24" t="s">
        <v>659</v>
      </c>
      <c r="E277" s="247">
        <v>0.90959000000000001</v>
      </c>
      <c r="F277" s="246">
        <v>61.4</v>
      </c>
      <c r="G277" s="1"/>
    </row>
    <row r="278" spans="1:7" ht="18" hidden="1" x14ac:dyDescent="0.3">
      <c r="A278" s="68">
        <v>277</v>
      </c>
      <c r="B278" s="69">
        <v>80673595</v>
      </c>
      <c r="C278" s="69" t="s">
        <v>578</v>
      </c>
      <c r="D278" s="24" t="s">
        <v>680</v>
      </c>
      <c r="E278" s="247">
        <v>0.90949999999999998</v>
      </c>
      <c r="F278" s="249">
        <v>77.45</v>
      </c>
      <c r="G278" s="1"/>
    </row>
    <row r="279" spans="1:7" ht="18" hidden="1" x14ac:dyDescent="0.3">
      <c r="A279" s="68">
        <v>278</v>
      </c>
      <c r="B279" s="69">
        <v>80662430</v>
      </c>
      <c r="C279" s="69" t="s">
        <v>84</v>
      </c>
      <c r="D279" s="24" t="s">
        <v>670</v>
      </c>
      <c r="E279" s="247">
        <v>0.90946000000000005</v>
      </c>
      <c r="F279" s="136">
        <v>55.71</v>
      </c>
      <c r="G279" s="1"/>
    </row>
    <row r="280" spans="1:7" ht="18" hidden="1" x14ac:dyDescent="0.3">
      <c r="A280" s="68">
        <v>279</v>
      </c>
      <c r="B280" s="69">
        <v>80667648</v>
      </c>
      <c r="C280" s="69" t="s">
        <v>227</v>
      </c>
      <c r="D280" s="24" t="s">
        <v>685</v>
      </c>
      <c r="E280" s="247">
        <v>0.90944999999999998</v>
      </c>
      <c r="F280" s="158">
        <v>61.05</v>
      </c>
      <c r="G280" s="1"/>
    </row>
    <row r="281" spans="1:7" ht="18" hidden="1" x14ac:dyDescent="0.3">
      <c r="A281" s="68">
        <v>280</v>
      </c>
      <c r="B281" s="69">
        <v>80672166</v>
      </c>
      <c r="C281" s="69" t="s">
        <v>114</v>
      </c>
      <c r="D281" s="24" t="s">
        <v>634</v>
      </c>
      <c r="E281" s="247">
        <v>0.90939999999999999</v>
      </c>
      <c r="F281" s="90">
        <v>59.67</v>
      </c>
      <c r="G281" s="1"/>
    </row>
    <row r="282" spans="1:7" ht="18" hidden="1" x14ac:dyDescent="0.3">
      <c r="A282" s="68">
        <v>281</v>
      </c>
      <c r="B282" s="69">
        <v>80662063</v>
      </c>
      <c r="C282" s="69" t="s">
        <v>144</v>
      </c>
      <c r="D282" s="24" t="s">
        <v>637</v>
      </c>
      <c r="E282" s="247">
        <v>0.90937999999999997</v>
      </c>
      <c r="F282" s="214">
        <v>69.45</v>
      </c>
      <c r="G282" s="1"/>
    </row>
    <row r="283" spans="1:7" ht="18" hidden="1" x14ac:dyDescent="0.3">
      <c r="A283" s="68">
        <v>282</v>
      </c>
      <c r="B283" s="69">
        <v>80668929</v>
      </c>
      <c r="C283" s="69" t="s">
        <v>70</v>
      </c>
      <c r="D283" s="24" t="s">
        <v>656</v>
      </c>
      <c r="E283" s="247">
        <v>0.90932999999999997</v>
      </c>
      <c r="F283" s="151">
        <v>70.599999999999994</v>
      </c>
      <c r="G283" s="1"/>
    </row>
    <row r="284" spans="1:7" ht="18" hidden="1" x14ac:dyDescent="0.3">
      <c r="A284" s="68">
        <v>283</v>
      </c>
      <c r="B284" s="69">
        <v>80672859</v>
      </c>
      <c r="C284" s="69" t="s">
        <v>162</v>
      </c>
      <c r="D284" s="24" t="s">
        <v>626</v>
      </c>
      <c r="E284" s="247">
        <v>0.90917999999999999</v>
      </c>
      <c r="F284" s="83">
        <v>58.2</v>
      </c>
      <c r="G284" s="1"/>
    </row>
    <row r="285" spans="1:7" ht="18" hidden="1" x14ac:dyDescent="0.3">
      <c r="A285" s="68">
        <v>284</v>
      </c>
      <c r="B285" s="69">
        <v>80668534</v>
      </c>
      <c r="C285" s="69" t="s">
        <v>472</v>
      </c>
      <c r="D285" s="24" t="s">
        <v>674</v>
      </c>
      <c r="E285" s="247">
        <v>0.90910999999999997</v>
      </c>
      <c r="F285" s="94">
        <v>59.21</v>
      </c>
      <c r="G285" s="1"/>
    </row>
    <row r="286" spans="1:7" ht="18" hidden="1" x14ac:dyDescent="0.3">
      <c r="A286" s="68">
        <v>285</v>
      </c>
      <c r="B286" s="69">
        <v>80665555</v>
      </c>
      <c r="C286" s="69" t="s">
        <v>456</v>
      </c>
      <c r="D286" s="24" t="s">
        <v>640</v>
      </c>
      <c r="E286" s="250">
        <v>0.90878999999999999</v>
      </c>
      <c r="F286" s="135">
        <v>56.68</v>
      </c>
      <c r="G286" s="1"/>
    </row>
    <row r="287" spans="1:7" ht="18" hidden="1" x14ac:dyDescent="0.3">
      <c r="A287" s="68">
        <v>286</v>
      </c>
      <c r="B287" s="69">
        <v>80674473</v>
      </c>
      <c r="C287" s="69" t="s">
        <v>598</v>
      </c>
      <c r="D287" s="24" t="s">
        <v>701</v>
      </c>
      <c r="E287" s="250">
        <v>0.90864999999999996</v>
      </c>
      <c r="F287" s="251">
        <v>65.2</v>
      </c>
      <c r="G287" s="1"/>
    </row>
    <row r="288" spans="1:7" ht="18" hidden="1" x14ac:dyDescent="0.3">
      <c r="A288" s="68">
        <v>287</v>
      </c>
      <c r="B288" s="69">
        <v>80669275</v>
      </c>
      <c r="C288" s="69" t="s">
        <v>431</v>
      </c>
      <c r="D288" s="24" t="s">
        <v>644</v>
      </c>
      <c r="E288" s="250">
        <v>0.90861000000000003</v>
      </c>
      <c r="F288" s="118">
        <v>74.37</v>
      </c>
      <c r="G288" s="1"/>
    </row>
    <row r="289" spans="1:7" ht="18" hidden="1" x14ac:dyDescent="0.3">
      <c r="A289" s="68">
        <v>288</v>
      </c>
      <c r="B289" s="69">
        <v>80670978</v>
      </c>
      <c r="C289" s="69" t="s">
        <v>397</v>
      </c>
      <c r="D289" s="24" t="s">
        <v>697</v>
      </c>
      <c r="E289" s="250">
        <v>0.90800000000000003</v>
      </c>
      <c r="F289" s="125">
        <v>56.89</v>
      </c>
      <c r="G289" s="1"/>
    </row>
    <row r="290" spans="1:7" ht="18" hidden="1" x14ac:dyDescent="0.3">
      <c r="A290" s="68">
        <v>289</v>
      </c>
      <c r="B290" s="69">
        <v>80672158</v>
      </c>
      <c r="C290" s="69" t="s">
        <v>65</v>
      </c>
      <c r="D290" s="24" t="s">
        <v>645</v>
      </c>
      <c r="E290" s="250">
        <v>0.90798000000000001</v>
      </c>
      <c r="F290" s="239">
        <v>52.13</v>
      </c>
      <c r="G290" s="1"/>
    </row>
    <row r="291" spans="1:7" ht="18" hidden="1" x14ac:dyDescent="0.3">
      <c r="A291" s="68">
        <v>290</v>
      </c>
      <c r="B291" s="69">
        <v>80669289</v>
      </c>
      <c r="C291" s="69" t="s">
        <v>374</v>
      </c>
      <c r="D291" s="24" t="s">
        <v>616</v>
      </c>
      <c r="E291" s="250">
        <v>0.90781000000000001</v>
      </c>
      <c r="F291" s="99">
        <v>64.680000000000007</v>
      </c>
      <c r="G291" s="1"/>
    </row>
    <row r="292" spans="1:7" ht="18" hidden="1" x14ac:dyDescent="0.3">
      <c r="A292" s="68">
        <v>291</v>
      </c>
      <c r="B292" s="69">
        <v>80671160</v>
      </c>
      <c r="C292" s="69" t="s">
        <v>497</v>
      </c>
      <c r="D292" s="24" t="s">
        <v>652</v>
      </c>
      <c r="E292" s="250">
        <v>0.90749999999999997</v>
      </c>
      <c r="F292" s="78">
        <v>67.37</v>
      </c>
      <c r="G292" s="1"/>
    </row>
    <row r="293" spans="1:7" ht="18" hidden="1" x14ac:dyDescent="0.3">
      <c r="A293" s="68">
        <v>292</v>
      </c>
      <c r="B293" s="69">
        <v>80668533</v>
      </c>
      <c r="C293" s="69" t="s">
        <v>448</v>
      </c>
      <c r="D293" s="24" t="s">
        <v>691</v>
      </c>
      <c r="E293" s="250">
        <v>0.90746000000000004</v>
      </c>
      <c r="F293" s="83">
        <v>58.22</v>
      </c>
      <c r="G293" s="1"/>
    </row>
    <row r="294" spans="1:7" ht="18" x14ac:dyDescent="0.3">
      <c r="A294" s="68">
        <v>293</v>
      </c>
      <c r="B294" s="69">
        <v>80671870</v>
      </c>
      <c r="C294" s="69" t="s">
        <v>364</v>
      </c>
      <c r="D294" s="24" t="s">
        <v>635</v>
      </c>
      <c r="E294" s="250">
        <v>0.90724000000000005</v>
      </c>
      <c r="F294" s="251">
        <v>65</v>
      </c>
      <c r="G294" s="1"/>
    </row>
    <row r="295" spans="1:7" ht="18" hidden="1" x14ac:dyDescent="0.3">
      <c r="A295" s="68">
        <v>294</v>
      </c>
      <c r="B295" s="69">
        <v>80670969</v>
      </c>
      <c r="C295" s="69" t="s">
        <v>345</v>
      </c>
      <c r="D295" s="24" t="s">
        <v>665</v>
      </c>
      <c r="E295" s="252">
        <v>0.90617999999999999</v>
      </c>
      <c r="F295" s="164">
        <v>52.89</v>
      </c>
      <c r="G295" s="1"/>
    </row>
    <row r="296" spans="1:7" ht="18" hidden="1" x14ac:dyDescent="0.3">
      <c r="A296" s="68">
        <v>295</v>
      </c>
      <c r="B296" s="69">
        <v>80674467</v>
      </c>
      <c r="C296" s="69" t="s">
        <v>561</v>
      </c>
      <c r="D296" s="24" t="s">
        <v>698</v>
      </c>
      <c r="E296" s="253">
        <v>0.90534000000000003</v>
      </c>
      <c r="F296" s="145">
        <v>55.47</v>
      </c>
      <c r="G296" s="1"/>
    </row>
    <row r="297" spans="1:7" ht="18" hidden="1" x14ac:dyDescent="0.3">
      <c r="A297" s="68">
        <v>296</v>
      </c>
      <c r="B297" s="69">
        <v>80672152</v>
      </c>
      <c r="C297" s="69" t="s">
        <v>181</v>
      </c>
      <c r="D297" s="24" t="s">
        <v>694</v>
      </c>
      <c r="E297" s="253">
        <v>0.90486</v>
      </c>
      <c r="F297" s="198">
        <v>53.24</v>
      </c>
      <c r="G297" s="1"/>
    </row>
    <row r="298" spans="1:7" ht="18" hidden="1" x14ac:dyDescent="0.3">
      <c r="A298" s="68">
        <v>297</v>
      </c>
      <c r="B298" s="69">
        <v>80674460</v>
      </c>
      <c r="C298" s="69" t="s">
        <v>702</v>
      </c>
      <c r="D298" s="24" t="s">
        <v>637</v>
      </c>
      <c r="E298" s="253">
        <v>0.90476000000000001</v>
      </c>
      <c r="F298" s="127">
        <v>49.95</v>
      </c>
      <c r="G298" s="1"/>
    </row>
    <row r="299" spans="1:7" ht="18" hidden="1" x14ac:dyDescent="0.3">
      <c r="A299" s="68">
        <v>298</v>
      </c>
      <c r="B299" s="69">
        <v>80670965</v>
      </c>
      <c r="C299" s="69" t="s">
        <v>63</v>
      </c>
      <c r="D299" s="24" t="s">
        <v>645</v>
      </c>
      <c r="E299" s="254">
        <v>0.90368999999999999</v>
      </c>
      <c r="F299" s="146">
        <v>62.84</v>
      </c>
      <c r="G299" s="1"/>
    </row>
    <row r="300" spans="1:7" ht="18" hidden="1" x14ac:dyDescent="0.3">
      <c r="A300" s="68">
        <v>299</v>
      </c>
      <c r="B300" s="69">
        <v>80661158</v>
      </c>
      <c r="C300" s="69" t="s">
        <v>442</v>
      </c>
      <c r="D300" s="24" t="s">
        <v>651</v>
      </c>
      <c r="E300" s="254">
        <v>0.90363000000000004</v>
      </c>
      <c r="F300" s="126">
        <v>54.21</v>
      </c>
      <c r="G300" s="1"/>
    </row>
    <row r="301" spans="1:7" ht="18" hidden="1" x14ac:dyDescent="0.3">
      <c r="A301" s="68">
        <v>300</v>
      </c>
      <c r="B301" s="69">
        <v>80661200</v>
      </c>
      <c r="C301" s="69" t="s">
        <v>594</v>
      </c>
      <c r="D301" s="24" t="s">
        <v>701</v>
      </c>
      <c r="E301" s="254">
        <v>0.90300000000000002</v>
      </c>
      <c r="F301" s="76">
        <v>68.260000000000005</v>
      </c>
      <c r="G301" s="1"/>
    </row>
    <row r="302" spans="1:7" ht="18" hidden="1" x14ac:dyDescent="0.3">
      <c r="A302" s="68">
        <v>301</v>
      </c>
      <c r="B302" s="69">
        <v>80672648</v>
      </c>
      <c r="C302" s="69" t="s">
        <v>577</v>
      </c>
      <c r="D302" s="24" t="s">
        <v>680</v>
      </c>
      <c r="E302" s="254">
        <v>0.90286</v>
      </c>
      <c r="F302" s="255">
        <v>48.71</v>
      </c>
      <c r="G302" s="1"/>
    </row>
    <row r="303" spans="1:7" ht="18" hidden="1" x14ac:dyDescent="0.3">
      <c r="A303" s="68">
        <v>302</v>
      </c>
      <c r="B303" s="69">
        <v>80667646</v>
      </c>
      <c r="C303" s="69" t="s">
        <v>469</v>
      </c>
      <c r="D303" s="24" t="s">
        <v>671</v>
      </c>
      <c r="E303" s="254">
        <v>0.90256000000000003</v>
      </c>
      <c r="F303" s="110">
        <v>50.63</v>
      </c>
      <c r="G303" s="1"/>
    </row>
    <row r="304" spans="1:7" ht="18" hidden="1" x14ac:dyDescent="0.3">
      <c r="A304" s="68">
        <v>303</v>
      </c>
      <c r="B304" s="69">
        <v>80665556</v>
      </c>
      <c r="C304" s="69" t="s">
        <v>44</v>
      </c>
      <c r="D304" s="24" t="s">
        <v>661</v>
      </c>
      <c r="E304" s="254">
        <v>0.90239999999999998</v>
      </c>
      <c r="F304" s="152">
        <v>54.82</v>
      </c>
      <c r="G304" s="1"/>
    </row>
    <row r="305" spans="1:7" ht="18" x14ac:dyDescent="0.3">
      <c r="A305" s="68">
        <v>304</v>
      </c>
      <c r="B305" s="69">
        <v>80671161</v>
      </c>
      <c r="C305" s="69" t="s">
        <v>368</v>
      </c>
      <c r="D305" s="24" t="s">
        <v>635</v>
      </c>
      <c r="E305" s="256">
        <v>0.90227999999999997</v>
      </c>
      <c r="F305" s="257">
        <v>85.28</v>
      </c>
      <c r="G305" s="1"/>
    </row>
    <row r="306" spans="1:7" ht="18" hidden="1" x14ac:dyDescent="0.3">
      <c r="A306" s="68">
        <v>305</v>
      </c>
      <c r="B306" s="69">
        <v>80673635</v>
      </c>
      <c r="C306" s="69" t="s">
        <v>37</v>
      </c>
      <c r="D306" s="24" t="s">
        <v>638</v>
      </c>
      <c r="E306" s="256">
        <v>0.90215999999999996</v>
      </c>
      <c r="F306" s="258">
        <v>49.35</v>
      </c>
      <c r="G306" s="1"/>
    </row>
    <row r="307" spans="1:7" ht="18" hidden="1" x14ac:dyDescent="0.3">
      <c r="A307" s="68">
        <v>306</v>
      </c>
      <c r="B307" s="69">
        <v>80660877</v>
      </c>
      <c r="C307" s="69" t="s">
        <v>455</v>
      </c>
      <c r="D307" s="24" t="s">
        <v>640</v>
      </c>
      <c r="E307" s="259">
        <v>0.9</v>
      </c>
      <c r="F307" s="116">
        <v>75.5</v>
      </c>
      <c r="G307" s="1"/>
    </row>
    <row r="308" spans="1:7" ht="18" hidden="1" x14ac:dyDescent="0.3">
      <c r="A308" s="68">
        <v>307</v>
      </c>
      <c r="B308" s="69">
        <v>80670980</v>
      </c>
      <c r="C308" s="69" t="s">
        <v>272</v>
      </c>
      <c r="D308" s="24" t="s">
        <v>682</v>
      </c>
      <c r="E308" s="260">
        <v>0.8992</v>
      </c>
      <c r="F308" s="210">
        <v>49.32</v>
      </c>
      <c r="G308" s="1"/>
    </row>
    <row r="309" spans="1:7" ht="18" hidden="1" x14ac:dyDescent="0.3">
      <c r="A309" s="68">
        <v>308</v>
      </c>
      <c r="B309" s="69">
        <v>80664671</v>
      </c>
      <c r="C309" s="69" t="s">
        <v>159</v>
      </c>
      <c r="D309" s="24" t="s">
        <v>626</v>
      </c>
      <c r="E309" s="260">
        <v>0.89915</v>
      </c>
      <c r="F309" s="126">
        <v>54.25</v>
      </c>
      <c r="G309" s="1"/>
    </row>
    <row r="310" spans="1:7" ht="18" hidden="1" x14ac:dyDescent="0.3">
      <c r="A310" s="68">
        <v>309</v>
      </c>
      <c r="B310" s="69">
        <v>80673103</v>
      </c>
      <c r="C310" s="69" t="s">
        <v>419</v>
      </c>
      <c r="D310" s="24" t="s">
        <v>647</v>
      </c>
      <c r="E310" s="261">
        <v>0.89881999999999995</v>
      </c>
      <c r="F310" s="135">
        <v>56.75</v>
      </c>
      <c r="G310" s="1"/>
    </row>
    <row r="311" spans="1:7" ht="18" hidden="1" x14ac:dyDescent="0.3">
      <c r="A311" s="68">
        <v>310</v>
      </c>
      <c r="B311" s="69">
        <v>80665179</v>
      </c>
      <c r="C311" s="69" t="s">
        <v>153</v>
      </c>
      <c r="D311" s="24" t="s">
        <v>630</v>
      </c>
      <c r="E311" s="261">
        <v>0.89854999999999996</v>
      </c>
      <c r="F311" s="228">
        <v>52.63</v>
      </c>
      <c r="G311" s="1"/>
    </row>
    <row r="312" spans="1:7" ht="18" hidden="1" x14ac:dyDescent="0.3">
      <c r="A312" s="68">
        <v>311</v>
      </c>
      <c r="B312" s="69">
        <v>80674464</v>
      </c>
      <c r="C312" s="69" t="s">
        <v>88</v>
      </c>
      <c r="D312" s="24" t="s">
        <v>670</v>
      </c>
      <c r="E312" s="262">
        <v>0.89736000000000005</v>
      </c>
      <c r="F312" s="152">
        <v>54.95</v>
      </c>
      <c r="G312" s="1"/>
    </row>
    <row r="313" spans="1:7" ht="18" hidden="1" x14ac:dyDescent="0.3">
      <c r="A313" s="68">
        <v>312</v>
      </c>
      <c r="B313" s="69">
        <v>80671818</v>
      </c>
      <c r="C313" s="69" t="s">
        <v>444</v>
      </c>
      <c r="D313" s="24" t="s">
        <v>651</v>
      </c>
      <c r="E313" s="262">
        <v>0.89709000000000005</v>
      </c>
      <c r="F313" s="125">
        <v>57.05</v>
      </c>
      <c r="G313" s="1"/>
    </row>
    <row r="314" spans="1:7" ht="18" hidden="1" x14ac:dyDescent="0.3">
      <c r="A314" s="68">
        <v>313</v>
      </c>
      <c r="B314" s="69">
        <v>80671868</v>
      </c>
      <c r="C314" s="69" t="s">
        <v>564</v>
      </c>
      <c r="D314" s="24" t="s">
        <v>678</v>
      </c>
      <c r="E314" s="262">
        <v>0.89700000000000002</v>
      </c>
      <c r="F314" s="143">
        <v>60.5</v>
      </c>
      <c r="G314" s="1"/>
    </row>
    <row r="315" spans="1:7" ht="18" hidden="1" x14ac:dyDescent="0.3">
      <c r="A315" s="68">
        <v>314</v>
      </c>
      <c r="B315" s="69">
        <v>80662058</v>
      </c>
      <c r="C315" s="69" t="s">
        <v>392</v>
      </c>
      <c r="D315" s="24" t="s">
        <v>689</v>
      </c>
      <c r="E315" s="262">
        <v>0.89663999999999999</v>
      </c>
      <c r="F315" s="173">
        <v>82.63</v>
      </c>
      <c r="G315" s="1"/>
    </row>
    <row r="316" spans="1:7" ht="18" hidden="1" x14ac:dyDescent="0.3">
      <c r="A316" s="68">
        <v>315</v>
      </c>
      <c r="B316" s="69">
        <v>80670975</v>
      </c>
      <c r="C316" s="69" t="s">
        <v>314</v>
      </c>
      <c r="D316" s="24" t="s">
        <v>664</v>
      </c>
      <c r="E316" s="263">
        <v>0.89522000000000002</v>
      </c>
      <c r="F316" s="188">
        <v>48.84</v>
      </c>
      <c r="G316" s="1"/>
    </row>
    <row r="317" spans="1:7" ht="18" hidden="1" x14ac:dyDescent="0.3">
      <c r="A317" s="68">
        <v>316</v>
      </c>
      <c r="B317" s="69">
        <v>80672803</v>
      </c>
      <c r="C317" s="69" t="s">
        <v>36</v>
      </c>
      <c r="D317" s="24" t="s">
        <v>638</v>
      </c>
      <c r="E317" s="263">
        <v>0.89461999999999997</v>
      </c>
      <c r="F317" s="264">
        <v>72.16</v>
      </c>
      <c r="G317" s="1"/>
    </row>
    <row r="318" spans="1:7" ht="18" hidden="1" x14ac:dyDescent="0.3">
      <c r="A318" s="68">
        <v>317</v>
      </c>
      <c r="B318" s="69">
        <v>80673611</v>
      </c>
      <c r="C318" s="69" t="s">
        <v>436</v>
      </c>
      <c r="D318" s="24" t="s">
        <v>700</v>
      </c>
      <c r="E318" s="265">
        <v>0.89300000000000002</v>
      </c>
      <c r="F318" s="266">
        <v>47</v>
      </c>
      <c r="G318" s="1"/>
    </row>
    <row r="319" spans="1:7" ht="18" hidden="1" x14ac:dyDescent="0.3">
      <c r="A319" s="68">
        <v>318</v>
      </c>
      <c r="B319" s="69">
        <v>80660872</v>
      </c>
      <c r="C319" s="69" t="s">
        <v>570</v>
      </c>
      <c r="D319" s="24" t="s">
        <v>632</v>
      </c>
      <c r="E319" s="267">
        <v>0.89251000000000003</v>
      </c>
      <c r="F319" s="83">
        <v>57.94</v>
      </c>
      <c r="G319" s="1"/>
    </row>
    <row r="320" spans="1:7" ht="18" hidden="1" x14ac:dyDescent="0.3">
      <c r="A320" s="68">
        <v>319</v>
      </c>
      <c r="B320" s="69">
        <v>80670773</v>
      </c>
      <c r="C320" s="69" t="s">
        <v>152</v>
      </c>
      <c r="D320" s="24" t="s">
        <v>630</v>
      </c>
      <c r="E320" s="267">
        <v>0.89181999999999995</v>
      </c>
      <c r="F320" s="210">
        <v>49.18</v>
      </c>
      <c r="G320" s="1"/>
    </row>
    <row r="321" spans="1:7" ht="18" hidden="1" x14ac:dyDescent="0.3">
      <c r="A321" s="68">
        <v>320</v>
      </c>
      <c r="B321" s="69">
        <v>80665333</v>
      </c>
      <c r="C321" s="69" t="s">
        <v>232</v>
      </c>
      <c r="D321" s="24" t="s">
        <v>650</v>
      </c>
      <c r="E321" s="267">
        <v>0.89168000000000003</v>
      </c>
      <c r="F321" s="221">
        <v>47.79</v>
      </c>
      <c r="G321" s="1"/>
    </row>
    <row r="322" spans="1:7" ht="18" hidden="1" x14ac:dyDescent="0.3">
      <c r="A322" s="68">
        <v>321</v>
      </c>
      <c r="B322" s="69">
        <v>80661143</v>
      </c>
      <c r="C322" s="69" t="s">
        <v>308</v>
      </c>
      <c r="D322" s="24" t="s">
        <v>686</v>
      </c>
      <c r="E322" s="267">
        <v>0.89122999999999997</v>
      </c>
      <c r="F322" s="90">
        <v>59.7</v>
      </c>
      <c r="G322" s="1"/>
    </row>
    <row r="323" spans="1:7" ht="18" hidden="1" x14ac:dyDescent="0.3">
      <c r="A323" s="68">
        <v>322</v>
      </c>
      <c r="B323" s="69">
        <v>80674461</v>
      </c>
      <c r="C323" s="69" t="s">
        <v>550</v>
      </c>
      <c r="D323" s="24" t="s">
        <v>662</v>
      </c>
      <c r="E323" s="268">
        <v>0.89007000000000003</v>
      </c>
      <c r="F323" s="269">
        <v>45.3</v>
      </c>
      <c r="G323" s="1"/>
    </row>
    <row r="324" spans="1:7" ht="18" hidden="1" x14ac:dyDescent="0.3">
      <c r="A324" s="68">
        <v>323</v>
      </c>
      <c r="B324" s="69">
        <v>80669293</v>
      </c>
      <c r="C324" s="69" t="s">
        <v>329</v>
      </c>
      <c r="D324" s="24" t="s">
        <v>629</v>
      </c>
      <c r="E324" s="268">
        <v>0.88949999999999996</v>
      </c>
      <c r="F324" s="87">
        <v>55.11</v>
      </c>
      <c r="G324" s="1"/>
    </row>
    <row r="325" spans="1:7" ht="18" hidden="1" x14ac:dyDescent="0.3">
      <c r="A325" s="68">
        <v>324</v>
      </c>
      <c r="B325" s="69">
        <v>80660262</v>
      </c>
      <c r="C325" s="69" t="s">
        <v>334</v>
      </c>
      <c r="D325" s="24" t="s">
        <v>657</v>
      </c>
      <c r="E325" s="270">
        <v>0.88800000000000001</v>
      </c>
      <c r="F325" s="91">
        <v>69.13</v>
      </c>
      <c r="G325" s="1"/>
    </row>
    <row r="326" spans="1:7" ht="18" hidden="1" x14ac:dyDescent="0.3">
      <c r="A326" s="68">
        <v>325</v>
      </c>
      <c r="B326" s="69">
        <v>80661197</v>
      </c>
      <c r="C326" s="69" t="s">
        <v>79</v>
      </c>
      <c r="D326" s="24" t="s">
        <v>667</v>
      </c>
      <c r="E326" s="270">
        <v>0.88797000000000004</v>
      </c>
      <c r="F326" s="136">
        <v>55.65</v>
      </c>
      <c r="G326" s="1"/>
    </row>
    <row r="327" spans="1:7" ht="18" hidden="1" x14ac:dyDescent="0.3">
      <c r="A327" s="68">
        <v>326</v>
      </c>
      <c r="B327" s="69">
        <v>80671867</v>
      </c>
      <c r="C327" s="69" t="s">
        <v>536</v>
      </c>
      <c r="D327" s="24" t="s">
        <v>687</v>
      </c>
      <c r="E327" s="270">
        <v>0.88776999999999995</v>
      </c>
      <c r="F327" s="271">
        <v>80.260000000000005</v>
      </c>
      <c r="G327" s="1"/>
    </row>
    <row r="328" spans="1:7" ht="18" hidden="1" x14ac:dyDescent="0.3">
      <c r="A328" s="68">
        <v>327</v>
      </c>
      <c r="B328" s="69">
        <v>80665338</v>
      </c>
      <c r="C328" s="69" t="s">
        <v>513</v>
      </c>
      <c r="D328" s="24" t="s">
        <v>693</v>
      </c>
      <c r="E328" s="272">
        <v>0.88729000000000002</v>
      </c>
      <c r="F328" s="124">
        <v>62.06</v>
      </c>
      <c r="G328" s="1"/>
    </row>
    <row r="329" spans="1:7" ht="18" hidden="1" x14ac:dyDescent="0.3">
      <c r="A329" s="68">
        <v>328</v>
      </c>
      <c r="B329" s="273">
        <v>70331</v>
      </c>
      <c r="C329" s="273" t="s">
        <v>525</v>
      </c>
      <c r="D329" s="34" t="s">
        <v>703</v>
      </c>
      <c r="E329" s="272">
        <v>0.88673999999999997</v>
      </c>
      <c r="F329" s="274">
        <v>38.78</v>
      </c>
      <c r="G329" s="1"/>
    </row>
    <row r="330" spans="1:7" ht="18" hidden="1" x14ac:dyDescent="0.3">
      <c r="A330" s="68">
        <v>329</v>
      </c>
      <c r="B330" s="69">
        <v>80661222</v>
      </c>
      <c r="C330" s="69" t="s">
        <v>333</v>
      </c>
      <c r="D330" s="24" t="s">
        <v>657</v>
      </c>
      <c r="E330" s="275">
        <v>0.88529000000000002</v>
      </c>
      <c r="F330" s="173">
        <v>82.71</v>
      </c>
      <c r="G330" s="1"/>
    </row>
    <row r="331" spans="1:7" ht="18" hidden="1" x14ac:dyDescent="0.3">
      <c r="A331" s="68">
        <v>330</v>
      </c>
      <c r="B331" s="69">
        <v>80672161</v>
      </c>
      <c r="C331" s="69" t="s">
        <v>496</v>
      </c>
      <c r="D331" s="24" t="s">
        <v>652</v>
      </c>
      <c r="E331" s="275">
        <v>0.88522000000000001</v>
      </c>
      <c r="F331" s="84">
        <v>57.69</v>
      </c>
      <c r="G331" s="1"/>
    </row>
    <row r="332" spans="1:7" ht="18" hidden="1" x14ac:dyDescent="0.3">
      <c r="A332" s="68">
        <v>331</v>
      </c>
      <c r="B332" s="69">
        <v>80659263</v>
      </c>
      <c r="C332" s="69" t="s">
        <v>233</v>
      </c>
      <c r="D332" s="24" t="s">
        <v>650</v>
      </c>
      <c r="E332" s="275">
        <v>0.88500000000000001</v>
      </c>
      <c r="F332" s="136">
        <v>55.65</v>
      </c>
      <c r="G332" s="1"/>
    </row>
    <row r="333" spans="1:7" ht="18" hidden="1" x14ac:dyDescent="0.3">
      <c r="A333" s="68">
        <v>332</v>
      </c>
      <c r="B333" s="69">
        <v>80658696</v>
      </c>
      <c r="C333" s="69" t="s">
        <v>119</v>
      </c>
      <c r="D333" s="24" t="s">
        <v>618</v>
      </c>
      <c r="E333" s="276">
        <v>0.88402999999999998</v>
      </c>
      <c r="F333" s="277">
        <v>45</v>
      </c>
      <c r="G333" s="1"/>
    </row>
    <row r="334" spans="1:7" ht="18" hidden="1" x14ac:dyDescent="0.3">
      <c r="A334" s="68">
        <v>333</v>
      </c>
      <c r="B334" s="273">
        <v>66010</v>
      </c>
      <c r="C334" s="273" t="s">
        <v>90</v>
      </c>
      <c r="D334" s="34" t="s">
        <v>704</v>
      </c>
      <c r="E334" s="276">
        <v>0.88400999999999996</v>
      </c>
      <c r="F334" s="184">
        <v>49.9</v>
      </c>
      <c r="G334" s="1"/>
    </row>
    <row r="335" spans="1:7" ht="18" hidden="1" x14ac:dyDescent="0.3">
      <c r="A335" s="68">
        <v>334</v>
      </c>
      <c r="B335" s="69">
        <v>80660867</v>
      </c>
      <c r="C335" s="69" t="s">
        <v>165</v>
      </c>
      <c r="D335" s="24" t="s">
        <v>690</v>
      </c>
      <c r="E335" s="276">
        <v>0.88400000000000001</v>
      </c>
      <c r="F335" s="81">
        <v>63.4</v>
      </c>
      <c r="G335" s="1"/>
    </row>
    <row r="336" spans="1:7" ht="18" hidden="1" x14ac:dyDescent="0.3">
      <c r="A336" s="68">
        <v>335</v>
      </c>
      <c r="B336" s="69">
        <v>80659035</v>
      </c>
      <c r="C336" s="69" t="s">
        <v>161</v>
      </c>
      <c r="D336" s="24" t="s">
        <v>626</v>
      </c>
      <c r="E336" s="276">
        <v>0.88354999999999995</v>
      </c>
      <c r="F336" s="103">
        <v>67.17</v>
      </c>
      <c r="G336" s="1"/>
    </row>
    <row r="337" spans="1:7" ht="18" hidden="1" x14ac:dyDescent="0.3">
      <c r="A337" s="68">
        <v>336</v>
      </c>
      <c r="B337" s="69">
        <v>80673638</v>
      </c>
      <c r="C337" s="69" t="s">
        <v>511</v>
      </c>
      <c r="D337" s="24" t="s">
        <v>693</v>
      </c>
      <c r="E337" s="276">
        <v>0.88339000000000001</v>
      </c>
      <c r="F337" s="87">
        <v>55.1</v>
      </c>
      <c r="G337" s="1"/>
    </row>
    <row r="338" spans="1:7" ht="18" hidden="1" x14ac:dyDescent="0.3">
      <c r="A338" s="68">
        <v>337</v>
      </c>
      <c r="B338" s="69">
        <v>80670775</v>
      </c>
      <c r="C338" s="69" t="s">
        <v>264</v>
      </c>
      <c r="D338" s="24" t="s">
        <v>681</v>
      </c>
      <c r="E338" s="276">
        <v>0.88300000000000001</v>
      </c>
      <c r="F338" s="116">
        <v>75.37</v>
      </c>
      <c r="G338" s="1"/>
    </row>
    <row r="339" spans="1:7" ht="18" hidden="1" x14ac:dyDescent="0.3">
      <c r="A339" s="68">
        <v>338</v>
      </c>
      <c r="B339" s="69">
        <v>80666861</v>
      </c>
      <c r="C339" s="69" t="s">
        <v>466</v>
      </c>
      <c r="D339" s="24" t="s">
        <v>671</v>
      </c>
      <c r="E339" s="276">
        <v>0.88300000000000001</v>
      </c>
      <c r="F339" s="143">
        <v>60.38</v>
      </c>
      <c r="G339" s="1"/>
    </row>
    <row r="340" spans="1:7" ht="18" hidden="1" x14ac:dyDescent="0.3">
      <c r="A340" s="68">
        <v>339</v>
      </c>
      <c r="B340" s="69">
        <v>80671827</v>
      </c>
      <c r="C340" s="69" t="s">
        <v>349</v>
      </c>
      <c r="D340" s="24" t="s">
        <v>665</v>
      </c>
      <c r="E340" s="276">
        <v>0.88278999999999996</v>
      </c>
      <c r="F340" s="167">
        <v>71.47</v>
      </c>
      <c r="G340" s="1"/>
    </row>
    <row r="341" spans="1:7" ht="18" hidden="1" x14ac:dyDescent="0.3">
      <c r="A341" s="68">
        <v>340</v>
      </c>
      <c r="B341" s="69">
        <v>80659040</v>
      </c>
      <c r="C341" s="69" t="s">
        <v>32</v>
      </c>
      <c r="D341" s="24" t="s">
        <v>627</v>
      </c>
      <c r="E341" s="276">
        <v>0.88278999999999996</v>
      </c>
      <c r="F341" s="133">
        <v>58.73</v>
      </c>
      <c r="G341" s="1"/>
    </row>
    <row r="342" spans="1:7" ht="18" hidden="1" x14ac:dyDescent="0.3">
      <c r="A342" s="68">
        <v>341</v>
      </c>
      <c r="B342" s="69">
        <v>80662060</v>
      </c>
      <c r="C342" s="69" t="s">
        <v>280</v>
      </c>
      <c r="D342" s="24" t="s">
        <v>692</v>
      </c>
      <c r="E342" s="278">
        <v>0.88239999999999996</v>
      </c>
      <c r="F342" s="81">
        <v>63.42</v>
      </c>
      <c r="G342" s="1"/>
    </row>
    <row r="343" spans="1:7" ht="18" hidden="1" x14ac:dyDescent="0.3">
      <c r="A343" s="68">
        <v>342</v>
      </c>
      <c r="B343" s="69">
        <v>80672863</v>
      </c>
      <c r="C343" s="69" t="s">
        <v>514</v>
      </c>
      <c r="D343" s="24" t="s">
        <v>693</v>
      </c>
      <c r="E343" s="278">
        <v>0.88205999999999996</v>
      </c>
      <c r="F343" s="258">
        <v>49.44</v>
      </c>
      <c r="G343" s="1"/>
    </row>
    <row r="344" spans="1:7" ht="18" hidden="1" x14ac:dyDescent="0.3">
      <c r="A344" s="68">
        <v>343</v>
      </c>
      <c r="B344" s="69">
        <v>80657625</v>
      </c>
      <c r="C344" s="69" t="s">
        <v>481</v>
      </c>
      <c r="D344" s="24" t="s">
        <v>684</v>
      </c>
      <c r="E344" s="278">
        <v>0.88168999999999997</v>
      </c>
      <c r="F344" s="127">
        <v>50.13</v>
      </c>
      <c r="G344" s="1"/>
    </row>
    <row r="345" spans="1:7" ht="18" hidden="1" x14ac:dyDescent="0.3">
      <c r="A345" s="68">
        <v>344</v>
      </c>
      <c r="B345" s="69">
        <v>80661148</v>
      </c>
      <c r="C345" s="69" t="s">
        <v>483</v>
      </c>
      <c r="D345" s="24" t="s">
        <v>684</v>
      </c>
      <c r="E345" s="278">
        <v>0.88136999999999999</v>
      </c>
      <c r="F345" s="258">
        <v>49.37</v>
      </c>
      <c r="G345" s="1"/>
    </row>
    <row r="346" spans="1:7" ht="18" hidden="1" x14ac:dyDescent="0.3">
      <c r="A346" s="68">
        <v>345</v>
      </c>
      <c r="B346" s="69">
        <v>80664679</v>
      </c>
      <c r="C346" s="69" t="s">
        <v>186</v>
      </c>
      <c r="D346" s="24" t="s">
        <v>649</v>
      </c>
      <c r="E346" s="279">
        <v>0.88100000000000001</v>
      </c>
      <c r="F346" s="90">
        <v>59.5</v>
      </c>
      <c r="G346" s="1"/>
    </row>
    <row r="347" spans="1:7" ht="18" hidden="1" x14ac:dyDescent="0.3">
      <c r="A347" s="68">
        <v>346</v>
      </c>
      <c r="B347" s="69">
        <v>80673121</v>
      </c>
      <c r="C347" s="69" t="s">
        <v>602</v>
      </c>
      <c r="D347" s="24" t="s">
        <v>683</v>
      </c>
      <c r="E347" s="279">
        <v>0.88087000000000004</v>
      </c>
      <c r="F347" s="120">
        <v>65.83</v>
      </c>
      <c r="G347" s="1"/>
    </row>
    <row r="348" spans="1:7" ht="18" hidden="1" x14ac:dyDescent="0.3">
      <c r="A348" s="68">
        <v>347</v>
      </c>
      <c r="B348" s="69">
        <v>80672652</v>
      </c>
      <c r="C348" s="69" t="s">
        <v>484</v>
      </c>
      <c r="D348" s="24" t="s">
        <v>684</v>
      </c>
      <c r="E348" s="279">
        <v>0.87973999999999997</v>
      </c>
      <c r="F348" s="208">
        <v>50.37</v>
      </c>
      <c r="G348" s="1"/>
    </row>
    <row r="349" spans="1:7" ht="18" hidden="1" x14ac:dyDescent="0.3">
      <c r="A349" s="68">
        <v>348</v>
      </c>
      <c r="B349" s="69">
        <v>80674459</v>
      </c>
      <c r="C349" s="69" t="s">
        <v>606</v>
      </c>
      <c r="D349" s="24" t="s">
        <v>675</v>
      </c>
      <c r="E349" s="280">
        <v>0.87873999999999997</v>
      </c>
      <c r="F349" s="281">
        <v>39.700000000000003</v>
      </c>
      <c r="G349" s="1"/>
    </row>
    <row r="350" spans="1:7" ht="18" hidden="1" x14ac:dyDescent="0.3">
      <c r="A350" s="68">
        <v>349</v>
      </c>
      <c r="B350" s="69">
        <v>80662051</v>
      </c>
      <c r="C350" s="69" t="s">
        <v>132</v>
      </c>
      <c r="D350" s="24" t="s">
        <v>699</v>
      </c>
      <c r="E350" s="280">
        <v>0.87873999999999997</v>
      </c>
      <c r="F350" s="161">
        <v>52.39</v>
      </c>
      <c r="G350" s="1"/>
    </row>
    <row r="351" spans="1:7" ht="18" hidden="1" x14ac:dyDescent="0.3">
      <c r="A351" s="68">
        <v>350</v>
      </c>
      <c r="B351" s="69">
        <v>80672845</v>
      </c>
      <c r="C351" s="69" t="s">
        <v>343</v>
      </c>
      <c r="D351" s="24" t="s">
        <v>653</v>
      </c>
      <c r="E351" s="282">
        <v>0.87773999999999996</v>
      </c>
      <c r="F351" s="164">
        <v>52.95</v>
      </c>
      <c r="G351" s="1"/>
    </row>
    <row r="352" spans="1:7" ht="18" hidden="1" x14ac:dyDescent="0.3">
      <c r="A352" s="68">
        <v>351</v>
      </c>
      <c r="B352" s="69">
        <v>80672631</v>
      </c>
      <c r="C352" s="69" t="s">
        <v>566</v>
      </c>
      <c r="D352" s="24" t="s">
        <v>678</v>
      </c>
      <c r="E352" s="282">
        <v>0.87646999999999997</v>
      </c>
      <c r="F352" s="152">
        <v>55.05</v>
      </c>
      <c r="G352" s="1"/>
    </row>
    <row r="353" spans="1:7" ht="18" hidden="1" x14ac:dyDescent="0.3">
      <c r="A353" s="68">
        <v>352</v>
      </c>
      <c r="B353" s="69">
        <v>80671155</v>
      </c>
      <c r="C353" s="69" t="s">
        <v>381</v>
      </c>
      <c r="D353" s="24" t="s">
        <v>666</v>
      </c>
      <c r="E353" s="283">
        <v>0.87543000000000004</v>
      </c>
      <c r="F353" s="221">
        <v>47.84</v>
      </c>
      <c r="G353" s="1"/>
    </row>
    <row r="354" spans="1:7" ht="18" hidden="1" x14ac:dyDescent="0.3">
      <c r="A354" s="68">
        <v>353</v>
      </c>
      <c r="B354" s="69">
        <v>80660893</v>
      </c>
      <c r="C354" s="69" t="s">
        <v>185</v>
      </c>
      <c r="D354" s="24" t="s">
        <v>649</v>
      </c>
      <c r="E354" s="283">
        <v>0.87538000000000005</v>
      </c>
      <c r="F354" s="112">
        <v>56.25</v>
      </c>
      <c r="G354" s="1"/>
    </row>
    <row r="355" spans="1:7" ht="18" hidden="1" x14ac:dyDescent="0.3">
      <c r="A355" s="68">
        <v>354</v>
      </c>
      <c r="B355" s="69">
        <v>80670783</v>
      </c>
      <c r="C355" s="69" t="s">
        <v>51</v>
      </c>
      <c r="D355" s="24" t="s">
        <v>654</v>
      </c>
      <c r="E355" s="283">
        <v>0.87512999999999996</v>
      </c>
      <c r="F355" s="266">
        <v>46.93</v>
      </c>
      <c r="G355" s="1"/>
    </row>
    <row r="356" spans="1:7" ht="18" hidden="1" x14ac:dyDescent="0.3">
      <c r="A356" s="68">
        <v>355</v>
      </c>
      <c r="B356" s="69">
        <v>80667638</v>
      </c>
      <c r="C356" s="69" t="s">
        <v>394</v>
      </c>
      <c r="D356" s="24" t="s">
        <v>689</v>
      </c>
      <c r="E356" s="284">
        <v>0.87433000000000005</v>
      </c>
      <c r="F356" s="184">
        <v>49.65</v>
      </c>
      <c r="G356" s="1"/>
    </row>
    <row r="357" spans="1:7" ht="18" hidden="1" x14ac:dyDescent="0.3">
      <c r="A357" s="68">
        <v>356</v>
      </c>
      <c r="B357" s="69">
        <v>80660894</v>
      </c>
      <c r="C357" s="69" t="s">
        <v>355</v>
      </c>
      <c r="D357" s="24" t="s">
        <v>659</v>
      </c>
      <c r="E357" s="284">
        <v>0.873</v>
      </c>
      <c r="F357" s="135">
        <v>56.5</v>
      </c>
      <c r="G357" s="1"/>
    </row>
    <row r="358" spans="1:7" ht="18" hidden="1" x14ac:dyDescent="0.3">
      <c r="A358" s="68">
        <v>357</v>
      </c>
      <c r="B358" s="69">
        <v>80673120</v>
      </c>
      <c r="C358" s="69" t="s">
        <v>309</v>
      </c>
      <c r="D358" s="24" t="s">
        <v>686</v>
      </c>
      <c r="E358" s="285">
        <v>0.87272000000000005</v>
      </c>
      <c r="F358" s="127">
        <v>49.95</v>
      </c>
      <c r="G358" s="1"/>
    </row>
    <row r="359" spans="1:7" ht="18" hidden="1" x14ac:dyDescent="0.3">
      <c r="A359" s="68">
        <v>358</v>
      </c>
      <c r="B359" s="69">
        <v>80671869</v>
      </c>
      <c r="C359" s="69" t="s">
        <v>528</v>
      </c>
      <c r="D359" s="24" t="s">
        <v>672</v>
      </c>
      <c r="E359" s="285">
        <v>0.87268000000000001</v>
      </c>
      <c r="F359" s="185">
        <v>48.39</v>
      </c>
      <c r="G359" s="1"/>
    </row>
    <row r="360" spans="1:7" ht="18" hidden="1" x14ac:dyDescent="0.3">
      <c r="A360" s="68">
        <v>359</v>
      </c>
      <c r="B360" s="69">
        <v>80668921</v>
      </c>
      <c r="C360" s="69" t="s">
        <v>205</v>
      </c>
      <c r="D360" s="24" t="s">
        <v>633</v>
      </c>
      <c r="E360" s="286">
        <v>0.87</v>
      </c>
      <c r="F360" s="146">
        <v>62.65</v>
      </c>
      <c r="G360" s="1"/>
    </row>
    <row r="361" spans="1:7" ht="18" hidden="1" x14ac:dyDescent="0.3">
      <c r="A361" s="68">
        <v>360</v>
      </c>
      <c r="B361" s="69">
        <v>80672801</v>
      </c>
      <c r="C361" s="69" t="s">
        <v>545</v>
      </c>
      <c r="D361" s="24" t="s">
        <v>695</v>
      </c>
      <c r="E361" s="286">
        <v>0.87</v>
      </c>
      <c r="F361" s="86">
        <v>56.05</v>
      </c>
      <c r="G361" s="1"/>
    </row>
    <row r="362" spans="1:7" ht="18" hidden="1" x14ac:dyDescent="0.3">
      <c r="A362" s="68">
        <v>361</v>
      </c>
      <c r="B362" s="69">
        <v>80671874</v>
      </c>
      <c r="C362" s="69" t="s">
        <v>409</v>
      </c>
      <c r="D362" s="24" t="s">
        <v>641</v>
      </c>
      <c r="E362" s="287">
        <v>0.86946000000000001</v>
      </c>
      <c r="F362" s="138">
        <v>61.5</v>
      </c>
      <c r="G362" s="1"/>
    </row>
    <row r="363" spans="1:7" ht="18" hidden="1" x14ac:dyDescent="0.3">
      <c r="A363" s="68">
        <v>362</v>
      </c>
      <c r="B363" s="69">
        <v>80658694</v>
      </c>
      <c r="C363" s="69" t="s">
        <v>87</v>
      </c>
      <c r="D363" s="24" t="s">
        <v>670</v>
      </c>
      <c r="E363" s="287">
        <v>0.86933000000000005</v>
      </c>
      <c r="F363" s="91">
        <v>69</v>
      </c>
      <c r="G363" s="1"/>
    </row>
    <row r="364" spans="1:7" ht="18" hidden="1" x14ac:dyDescent="0.3">
      <c r="A364" s="68">
        <v>363</v>
      </c>
      <c r="B364" s="273">
        <v>78912</v>
      </c>
      <c r="C364" s="273" t="s">
        <v>520</v>
      </c>
      <c r="D364" s="34" t="s">
        <v>705</v>
      </c>
      <c r="E364" s="287">
        <v>0.86931999999999998</v>
      </c>
      <c r="F364" s="110">
        <v>50.74</v>
      </c>
      <c r="G364" s="1"/>
    </row>
    <row r="365" spans="1:7" ht="18" hidden="1" x14ac:dyDescent="0.3">
      <c r="A365" s="68">
        <v>364</v>
      </c>
      <c r="B365" s="69">
        <v>80673574</v>
      </c>
      <c r="C365" s="69" t="s">
        <v>339</v>
      </c>
      <c r="D365" s="24" t="s">
        <v>653</v>
      </c>
      <c r="E365" s="287">
        <v>0.86924999999999997</v>
      </c>
      <c r="F365" s="112">
        <v>56.25</v>
      </c>
      <c r="G365" s="1"/>
    </row>
    <row r="366" spans="1:7" ht="18" hidden="1" x14ac:dyDescent="0.3">
      <c r="A366" s="68">
        <v>365</v>
      </c>
      <c r="B366" s="273">
        <v>77178</v>
      </c>
      <c r="C366" s="273" t="s">
        <v>91</v>
      </c>
      <c r="D366" s="34" t="s">
        <v>704</v>
      </c>
      <c r="E366" s="287">
        <v>0.86914999999999998</v>
      </c>
      <c r="F366" s="269">
        <v>45.26</v>
      </c>
      <c r="G366" s="1"/>
    </row>
    <row r="367" spans="1:7" ht="18" hidden="1" x14ac:dyDescent="0.3">
      <c r="A367" s="68">
        <v>366</v>
      </c>
      <c r="B367" s="69">
        <v>80661191</v>
      </c>
      <c r="C367" s="69" t="s">
        <v>393</v>
      </c>
      <c r="D367" s="24" t="s">
        <v>689</v>
      </c>
      <c r="E367" s="287">
        <v>0.86899999999999999</v>
      </c>
      <c r="F367" s="88">
        <v>53.83</v>
      </c>
      <c r="G367" s="1"/>
    </row>
    <row r="368" spans="1:7" ht="18" hidden="1" x14ac:dyDescent="0.3">
      <c r="A368" s="68">
        <v>367</v>
      </c>
      <c r="B368" s="69">
        <v>80668536</v>
      </c>
      <c r="C368" s="69" t="s">
        <v>544</v>
      </c>
      <c r="D368" s="24" t="s">
        <v>695</v>
      </c>
      <c r="E368" s="287">
        <v>0.86829000000000001</v>
      </c>
      <c r="F368" s="112">
        <v>56.2</v>
      </c>
      <c r="G368" s="1"/>
    </row>
    <row r="369" spans="1:7" ht="18" hidden="1" x14ac:dyDescent="0.3">
      <c r="A369" s="68">
        <v>368</v>
      </c>
      <c r="B369" s="69">
        <v>80671159</v>
      </c>
      <c r="C369" s="69" t="s">
        <v>567</v>
      </c>
      <c r="D369" s="24" t="s">
        <v>678</v>
      </c>
      <c r="E369" s="287">
        <v>0.86814000000000002</v>
      </c>
      <c r="F369" s="127">
        <v>50.1</v>
      </c>
      <c r="G369" s="1"/>
    </row>
    <row r="370" spans="1:7" ht="18" hidden="1" x14ac:dyDescent="0.3">
      <c r="A370" s="68">
        <v>369</v>
      </c>
      <c r="B370" s="69">
        <v>80672844</v>
      </c>
      <c r="C370" s="69" t="s">
        <v>196</v>
      </c>
      <c r="D370" s="24" t="s">
        <v>688</v>
      </c>
      <c r="E370" s="288">
        <v>0.86799999999999999</v>
      </c>
      <c r="F370" s="94">
        <v>59.11</v>
      </c>
      <c r="G370" s="1"/>
    </row>
    <row r="371" spans="1:7" ht="18" hidden="1" x14ac:dyDescent="0.3">
      <c r="A371" s="68">
        <v>370</v>
      </c>
      <c r="B371" s="69">
        <v>80673104</v>
      </c>
      <c r="C371" s="69" t="s">
        <v>438</v>
      </c>
      <c r="D371" s="24" t="s">
        <v>700</v>
      </c>
      <c r="E371" s="288">
        <v>0.86795999999999995</v>
      </c>
      <c r="F371" s="289">
        <v>37.53</v>
      </c>
      <c r="G371" s="1"/>
    </row>
    <row r="372" spans="1:7" ht="18" hidden="1" x14ac:dyDescent="0.3">
      <c r="A372" s="68">
        <v>371</v>
      </c>
      <c r="B372" s="69">
        <v>80658111</v>
      </c>
      <c r="C372" s="69" t="s">
        <v>450</v>
      </c>
      <c r="D372" s="24" t="s">
        <v>691</v>
      </c>
      <c r="E372" s="288">
        <v>0.86782999999999999</v>
      </c>
      <c r="F372" s="228">
        <v>52.71</v>
      </c>
      <c r="G372" s="1"/>
    </row>
    <row r="373" spans="1:7" ht="18" hidden="1" x14ac:dyDescent="0.3">
      <c r="A373" s="68">
        <v>372</v>
      </c>
      <c r="B373" s="69">
        <v>80662042</v>
      </c>
      <c r="C373" s="69" t="s">
        <v>433</v>
      </c>
      <c r="D373" s="24" t="s">
        <v>700</v>
      </c>
      <c r="E373" s="288">
        <v>0.86756</v>
      </c>
      <c r="F373" s="84">
        <v>57.61</v>
      </c>
      <c r="G373" s="1"/>
    </row>
    <row r="374" spans="1:7" ht="18" hidden="1" x14ac:dyDescent="0.3">
      <c r="A374" s="68">
        <v>373</v>
      </c>
      <c r="B374" s="69">
        <v>80672809</v>
      </c>
      <c r="C374" s="69" t="s">
        <v>203</v>
      </c>
      <c r="D374" s="24" t="s">
        <v>631</v>
      </c>
      <c r="E374" s="288">
        <v>0.86733000000000005</v>
      </c>
      <c r="F374" s="93">
        <v>58.56</v>
      </c>
      <c r="G374" s="1"/>
    </row>
    <row r="375" spans="1:7" ht="18" hidden="1" x14ac:dyDescent="0.3">
      <c r="A375" s="68">
        <v>374</v>
      </c>
      <c r="B375" s="69">
        <v>80665319</v>
      </c>
      <c r="C375" s="69" t="s">
        <v>559</v>
      </c>
      <c r="D375" s="24" t="s">
        <v>698</v>
      </c>
      <c r="E375" s="288">
        <v>0.86706000000000005</v>
      </c>
      <c r="F375" s="85">
        <v>57.25</v>
      </c>
      <c r="G375" s="1"/>
    </row>
    <row r="376" spans="1:7" ht="18" hidden="1" x14ac:dyDescent="0.3">
      <c r="A376" s="68">
        <v>375</v>
      </c>
      <c r="B376" s="69">
        <v>80659773</v>
      </c>
      <c r="C376" s="69" t="s">
        <v>24</v>
      </c>
      <c r="D376" s="24" t="s">
        <v>668</v>
      </c>
      <c r="E376" s="288">
        <v>0.86672000000000005</v>
      </c>
      <c r="F376" s="198">
        <v>53.22</v>
      </c>
      <c r="G376" s="1"/>
    </row>
    <row r="377" spans="1:7" ht="18" hidden="1" x14ac:dyDescent="0.3">
      <c r="A377" s="68">
        <v>376</v>
      </c>
      <c r="B377" s="69">
        <v>80659772</v>
      </c>
      <c r="C377" s="69" t="s">
        <v>194</v>
      </c>
      <c r="D377" s="24" t="s">
        <v>688</v>
      </c>
      <c r="E377" s="290">
        <v>0.86643000000000003</v>
      </c>
      <c r="F377" s="85">
        <v>57.11</v>
      </c>
      <c r="G377" s="1"/>
    </row>
    <row r="378" spans="1:7" ht="18" hidden="1" x14ac:dyDescent="0.3">
      <c r="A378" s="68">
        <v>377</v>
      </c>
      <c r="B378" s="69">
        <v>80671145</v>
      </c>
      <c r="C378" s="69" t="s">
        <v>404</v>
      </c>
      <c r="D378" s="24" t="s">
        <v>643</v>
      </c>
      <c r="E378" s="290">
        <v>0.86516000000000004</v>
      </c>
      <c r="F378" s="156">
        <v>54</v>
      </c>
      <c r="G378" s="1"/>
    </row>
    <row r="379" spans="1:7" ht="18" hidden="1" x14ac:dyDescent="0.3">
      <c r="A379" s="68">
        <v>378</v>
      </c>
      <c r="B379" s="69">
        <v>80661190</v>
      </c>
      <c r="C379" s="69" t="s">
        <v>130</v>
      </c>
      <c r="D379" s="24" t="s">
        <v>699</v>
      </c>
      <c r="E379" s="291">
        <v>0.86477000000000004</v>
      </c>
      <c r="F379" s="142">
        <v>75</v>
      </c>
      <c r="G379" s="1"/>
    </row>
    <row r="380" spans="1:7" ht="18" hidden="1" x14ac:dyDescent="0.3">
      <c r="A380" s="68">
        <v>379</v>
      </c>
      <c r="B380" s="69">
        <v>80661233</v>
      </c>
      <c r="C380" s="69" t="s">
        <v>57</v>
      </c>
      <c r="D380" s="24" t="s">
        <v>679</v>
      </c>
      <c r="E380" s="291">
        <v>0.86362000000000005</v>
      </c>
      <c r="F380" s="93">
        <v>58.55</v>
      </c>
      <c r="G380" s="1"/>
    </row>
    <row r="381" spans="1:7" ht="18" hidden="1" x14ac:dyDescent="0.3">
      <c r="A381" s="68">
        <v>380</v>
      </c>
      <c r="B381" s="69">
        <v>80673114</v>
      </c>
      <c r="C381" s="69" t="s">
        <v>449</v>
      </c>
      <c r="D381" s="24" t="s">
        <v>691</v>
      </c>
      <c r="E381" s="292">
        <v>0.86297000000000001</v>
      </c>
      <c r="F381" s="93">
        <v>58.53</v>
      </c>
      <c r="G381" s="1"/>
    </row>
    <row r="382" spans="1:7" ht="18" hidden="1" x14ac:dyDescent="0.3">
      <c r="A382" s="68">
        <v>381</v>
      </c>
      <c r="B382" s="69">
        <v>80671813</v>
      </c>
      <c r="C382" s="69" t="s">
        <v>576</v>
      </c>
      <c r="D382" s="24" t="s">
        <v>680</v>
      </c>
      <c r="E382" s="292">
        <v>0.86258000000000001</v>
      </c>
      <c r="F382" s="293">
        <v>52.6</v>
      </c>
      <c r="G382" s="1"/>
    </row>
    <row r="383" spans="1:7" ht="18" hidden="1" x14ac:dyDescent="0.3">
      <c r="A383" s="68">
        <v>382</v>
      </c>
      <c r="B383" s="69">
        <v>80671156</v>
      </c>
      <c r="C383" s="69" t="s">
        <v>59</v>
      </c>
      <c r="D383" s="24" t="s">
        <v>679</v>
      </c>
      <c r="E383" s="294">
        <v>0.86202000000000001</v>
      </c>
      <c r="F383" s="295">
        <v>41.25</v>
      </c>
      <c r="G383" s="1"/>
    </row>
    <row r="384" spans="1:7" ht="18" hidden="1" x14ac:dyDescent="0.3">
      <c r="A384" s="68">
        <v>383</v>
      </c>
      <c r="B384" s="69">
        <v>80672636</v>
      </c>
      <c r="C384" s="69" t="s">
        <v>316</v>
      </c>
      <c r="D384" s="24" t="s">
        <v>664</v>
      </c>
      <c r="E384" s="296">
        <v>0.86114000000000002</v>
      </c>
      <c r="F384" s="239">
        <v>52.11</v>
      </c>
      <c r="G384" s="1"/>
    </row>
    <row r="385" spans="1:7" ht="18" hidden="1" x14ac:dyDescent="0.3">
      <c r="A385" s="68">
        <v>384</v>
      </c>
      <c r="B385" s="69">
        <v>80670788</v>
      </c>
      <c r="C385" s="69" t="s">
        <v>155</v>
      </c>
      <c r="D385" s="24" t="s">
        <v>630</v>
      </c>
      <c r="E385" s="296">
        <v>0.86073</v>
      </c>
      <c r="F385" s="297">
        <v>37.799999999999997</v>
      </c>
      <c r="G385" s="1"/>
    </row>
    <row r="386" spans="1:7" ht="18" hidden="1" x14ac:dyDescent="0.3">
      <c r="A386" s="68">
        <v>385</v>
      </c>
      <c r="B386" s="69">
        <v>80670784</v>
      </c>
      <c r="C386" s="69" t="s">
        <v>273</v>
      </c>
      <c r="D386" s="24" t="s">
        <v>682</v>
      </c>
      <c r="E386" s="298">
        <v>0.85909000000000002</v>
      </c>
      <c r="F386" s="299">
        <v>41.95</v>
      </c>
      <c r="G386" s="1"/>
    </row>
    <row r="387" spans="1:7" ht="18" hidden="1" x14ac:dyDescent="0.3">
      <c r="A387" s="68">
        <v>386</v>
      </c>
      <c r="B387" s="69">
        <v>80672643</v>
      </c>
      <c r="C387" s="69" t="s">
        <v>171</v>
      </c>
      <c r="D387" s="24" t="s">
        <v>690</v>
      </c>
      <c r="E387" s="298">
        <v>0.85875999999999997</v>
      </c>
      <c r="F387" s="300">
        <v>46.63</v>
      </c>
      <c r="G387" s="1"/>
    </row>
    <row r="388" spans="1:7" ht="18" hidden="1" x14ac:dyDescent="0.3">
      <c r="A388" s="68">
        <v>387</v>
      </c>
      <c r="B388" s="69">
        <v>80663068</v>
      </c>
      <c r="C388" s="69" t="s">
        <v>226</v>
      </c>
      <c r="D388" s="24" t="s">
        <v>685</v>
      </c>
      <c r="E388" s="298">
        <v>0.85851999999999995</v>
      </c>
      <c r="F388" s="145">
        <v>55.42</v>
      </c>
      <c r="G388" s="1"/>
    </row>
    <row r="389" spans="1:7" ht="18" hidden="1" x14ac:dyDescent="0.3">
      <c r="A389" s="68">
        <v>388</v>
      </c>
      <c r="B389" s="69">
        <v>80674469</v>
      </c>
      <c r="C389" s="69" t="s">
        <v>548</v>
      </c>
      <c r="D389" s="24" t="s">
        <v>695</v>
      </c>
      <c r="E389" s="301">
        <v>0.85775000000000001</v>
      </c>
      <c r="F389" s="188">
        <v>48.8</v>
      </c>
      <c r="G389" s="1"/>
    </row>
    <row r="390" spans="1:7" ht="18" x14ac:dyDescent="0.3">
      <c r="A390" s="68">
        <v>389</v>
      </c>
      <c r="B390" s="69">
        <v>80668923</v>
      </c>
      <c r="C390" s="69" t="s">
        <v>367</v>
      </c>
      <c r="D390" s="24" t="s">
        <v>635</v>
      </c>
      <c r="E390" s="301">
        <v>0.85750000000000004</v>
      </c>
      <c r="F390" s="94">
        <v>59.35</v>
      </c>
      <c r="G390" s="1"/>
    </row>
    <row r="391" spans="1:7" ht="18" hidden="1" x14ac:dyDescent="0.3">
      <c r="A391" s="68">
        <v>390</v>
      </c>
      <c r="B391" s="69">
        <v>80663628</v>
      </c>
      <c r="C391" s="69" t="s">
        <v>427</v>
      </c>
      <c r="D391" s="24" t="s">
        <v>644</v>
      </c>
      <c r="E391" s="301">
        <v>0.85724</v>
      </c>
      <c r="F391" s="152">
        <v>54.85</v>
      </c>
      <c r="G391" s="1"/>
    </row>
    <row r="392" spans="1:7" ht="18" hidden="1" x14ac:dyDescent="0.3">
      <c r="A392" s="68">
        <v>391</v>
      </c>
      <c r="B392" s="69">
        <v>80665183</v>
      </c>
      <c r="C392" s="69" t="s">
        <v>477</v>
      </c>
      <c r="D392" s="24" t="s">
        <v>674</v>
      </c>
      <c r="E392" s="301">
        <v>0.85719999999999996</v>
      </c>
      <c r="F392" s="302">
        <v>51.7</v>
      </c>
      <c r="G392" s="1"/>
    </row>
    <row r="393" spans="1:7" ht="18" hidden="1" x14ac:dyDescent="0.3">
      <c r="A393" s="68">
        <v>392</v>
      </c>
      <c r="B393" s="69">
        <v>80671865</v>
      </c>
      <c r="C393" s="69" t="s">
        <v>146</v>
      </c>
      <c r="D393" s="24" t="s">
        <v>637</v>
      </c>
      <c r="E393" s="303">
        <v>0.85657000000000005</v>
      </c>
      <c r="F393" s="137">
        <v>64.42</v>
      </c>
      <c r="G393" s="1"/>
    </row>
    <row r="394" spans="1:7" ht="18" hidden="1" x14ac:dyDescent="0.3">
      <c r="A394" s="68">
        <v>393</v>
      </c>
      <c r="B394" s="69">
        <v>80673641</v>
      </c>
      <c r="C394" s="69" t="s">
        <v>476</v>
      </c>
      <c r="D394" s="24" t="s">
        <v>674</v>
      </c>
      <c r="E394" s="303">
        <v>0.85604000000000002</v>
      </c>
      <c r="F394" s="177">
        <v>51.1</v>
      </c>
      <c r="G394" s="1"/>
    </row>
    <row r="395" spans="1:7" ht="18" hidden="1" x14ac:dyDescent="0.3">
      <c r="A395" s="68">
        <v>394</v>
      </c>
      <c r="B395" s="69">
        <v>80661440</v>
      </c>
      <c r="C395" s="69" t="s">
        <v>154</v>
      </c>
      <c r="D395" s="24" t="s">
        <v>630</v>
      </c>
      <c r="E395" s="303">
        <v>0.85521000000000003</v>
      </c>
      <c r="F395" s="304">
        <v>44.37</v>
      </c>
      <c r="G395" s="1"/>
    </row>
    <row r="396" spans="1:7" ht="18" hidden="1" x14ac:dyDescent="0.3">
      <c r="A396" s="68">
        <v>395</v>
      </c>
      <c r="B396" s="69">
        <v>80673622</v>
      </c>
      <c r="C396" s="69" t="s">
        <v>554</v>
      </c>
      <c r="D396" s="24" t="s">
        <v>662</v>
      </c>
      <c r="E396" s="305">
        <v>0.85438000000000003</v>
      </c>
      <c r="F396" s="126">
        <v>54.25</v>
      </c>
      <c r="G396" s="1"/>
    </row>
    <row r="397" spans="1:7" ht="18" hidden="1" x14ac:dyDescent="0.3">
      <c r="A397" s="68">
        <v>396</v>
      </c>
      <c r="B397" s="69">
        <v>80669286</v>
      </c>
      <c r="C397" s="69" t="s">
        <v>597</v>
      </c>
      <c r="D397" s="24" t="s">
        <v>701</v>
      </c>
      <c r="E397" s="305">
        <v>0.85428000000000004</v>
      </c>
      <c r="F397" s="152">
        <v>54.89</v>
      </c>
      <c r="G397" s="1"/>
    </row>
    <row r="398" spans="1:7" ht="18" hidden="1" x14ac:dyDescent="0.3">
      <c r="A398" s="68">
        <v>397</v>
      </c>
      <c r="B398" s="69">
        <v>80662050</v>
      </c>
      <c r="C398" s="69" t="s">
        <v>591</v>
      </c>
      <c r="D398" s="24" t="s">
        <v>696</v>
      </c>
      <c r="E398" s="305">
        <v>0.85424999999999995</v>
      </c>
      <c r="F398" s="221">
        <v>47.74</v>
      </c>
      <c r="G398" s="1"/>
    </row>
    <row r="399" spans="1:7" ht="18" hidden="1" x14ac:dyDescent="0.3">
      <c r="A399" s="68">
        <v>398</v>
      </c>
      <c r="B399" s="69">
        <v>80661186</v>
      </c>
      <c r="C399" s="69" t="s">
        <v>53</v>
      </c>
      <c r="D399" s="24" t="s">
        <v>654</v>
      </c>
      <c r="E399" s="305">
        <v>0.85404999999999998</v>
      </c>
      <c r="F399" s="295">
        <v>41.21</v>
      </c>
      <c r="G399" s="1"/>
    </row>
    <row r="400" spans="1:7" ht="18" hidden="1" x14ac:dyDescent="0.3">
      <c r="A400" s="68">
        <v>399</v>
      </c>
      <c r="B400" s="273">
        <v>72049</v>
      </c>
      <c r="C400" s="273" t="s">
        <v>93</v>
      </c>
      <c r="D400" s="34" t="s">
        <v>704</v>
      </c>
      <c r="E400" s="306">
        <v>0.85275999999999996</v>
      </c>
      <c r="F400" s="307">
        <v>45.94</v>
      </c>
      <c r="G400" s="1"/>
    </row>
    <row r="401" spans="1:7" ht="18" hidden="1" x14ac:dyDescent="0.3">
      <c r="A401" s="68">
        <v>400</v>
      </c>
      <c r="B401" s="69">
        <v>80661437</v>
      </c>
      <c r="C401" s="69" t="s">
        <v>535</v>
      </c>
      <c r="D401" s="24" t="s">
        <v>687</v>
      </c>
      <c r="E401" s="306">
        <v>0.85267000000000004</v>
      </c>
      <c r="F401" s="308">
        <v>40.21</v>
      </c>
      <c r="G401" s="1"/>
    </row>
    <row r="402" spans="1:7" ht="18" hidden="1" x14ac:dyDescent="0.3">
      <c r="A402" s="68">
        <v>401</v>
      </c>
      <c r="B402" s="69">
        <v>80674450</v>
      </c>
      <c r="C402" s="69" t="s">
        <v>330</v>
      </c>
      <c r="D402" s="24" t="s">
        <v>629</v>
      </c>
      <c r="E402" s="306">
        <v>0.85265000000000002</v>
      </c>
      <c r="F402" s="210">
        <v>49.2</v>
      </c>
      <c r="G402" s="1"/>
    </row>
    <row r="403" spans="1:7" ht="18" hidden="1" x14ac:dyDescent="0.3">
      <c r="A403" s="68">
        <v>402</v>
      </c>
      <c r="B403" s="69">
        <v>80662055</v>
      </c>
      <c r="C403" s="69" t="s">
        <v>317</v>
      </c>
      <c r="D403" s="24" t="s">
        <v>664</v>
      </c>
      <c r="E403" s="309">
        <v>0.85148999999999997</v>
      </c>
      <c r="F403" s="210">
        <v>49.1</v>
      </c>
      <c r="G403" s="1"/>
    </row>
    <row r="404" spans="1:7" ht="18" hidden="1" x14ac:dyDescent="0.3">
      <c r="A404" s="68">
        <v>403</v>
      </c>
      <c r="B404" s="69">
        <v>80667637</v>
      </c>
      <c r="C404" s="69" t="s">
        <v>587</v>
      </c>
      <c r="D404" s="24" t="s">
        <v>696</v>
      </c>
      <c r="E404" s="309">
        <v>0.85046999999999995</v>
      </c>
      <c r="F404" s="310">
        <v>39</v>
      </c>
      <c r="G404" s="1"/>
    </row>
    <row r="405" spans="1:7" ht="18" hidden="1" x14ac:dyDescent="0.3">
      <c r="A405" s="68">
        <v>404</v>
      </c>
      <c r="B405" s="69">
        <v>80673604</v>
      </c>
      <c r="C405" s="69" t="s">
        <v>451</v>
      </c>
      <c r="D405" s="24" t="s">
        <v>691</v>
      </c>
      <c r="E405" s="311">
        <v>0.84916999999999998</v>
      </c>
      <c r="F405" s="170">
        <v>51.06</v>
      </c>
      <c r="G405" s="1"/>
    </row>
    <row r="406" spans="1:7" ht="18" hidden="1" x14ac:dyDescent="0.3">
      <c r="A406" s="68">
        <v>405</v>
      </c>
      <c r="B406" s="69">
        <v>80660869</v>
      </c>
      <c r="C406" s="69" t="s">
        <v>403</v>
      </c>
      <c r="D406" s="24" t="s">
        <v>643</v>
      </c>
      <c r="E406" s="311">
        <v>0.84887000000000001</v>
      </c>
      <c r="F406" s="295">
        <v>41.28</v>
      </c>
      <c r="G406" s="1"/>
    </row>
    <row r="407" spans="1:7" ht="18" hidden="1" x14ac:dyDescent="0.3">
      <c r="A407" s="68">
        <v>406</v>
      </c>
      <c r="B407" s="69">
        <v>80672162</v>
      </c>
      <c r="C407" s="69" t="s">
        <v>195</v>
      </c>
      <c r="D407" s="24" t="s">
        <v>688</v>
      </c>
      <c r="E407" s="312">
        <v>0.84679000000000004</v>
      </c>
      <c r="F407" s="110">
        <v>50.53</v>
      </c>
      <c r="G407" s="1"/>
    </row>
    <row r="408" spans="1:7" ht="18" hidden="1" x14ac:dyDescent="0.3">
      <c r="A408" s="68">
        <v>407</v>
      </c>
      <c r="B408" s="69">
        <v>80657750</v>
      </c>
      <c r="C408" s="69" t="s">
        <v>411</v>
      </c>
      <c r="D408" s="24" t="s">
        <v>641</v>
      </c>
      <c r="E408" s="312">
        <v>0.84582999999999997</v>
      </c>
      <c r="F408" s="313">
        <v>40.85</v>
      </c>
      <c r="G408" s="1"/>
    </row>
    <row r="409" spans="1:7" ht="18" hidden="1" x14ac:dyDescent="0.3">
      <c r="A409" s="68">
        <v>408</v>
      </c>
      <c r="B409" s="69">
        <v>80674465</v>
      </c>
      <c r="C409" s="69" t="s">
        <v>558</v>
      </c>
      <c r="D409" s="24" t="s">
        <v>698</v>
      </c>
      <c r="E409" s="312">
        <v>0.84553999999999996</v>
      </c>
      <c r="F409" s="152">
        <v>54.9</v>
      </c>
      <c r="G409" s="1"/>
    </row>
    <row r="410" spans="1:7" ht="18" hidden="1" x14ac:dyDescent="0.3">
      <c r="A410" s="68">
        <v>409</v>
      </c>
      <c r="B410" s="69">
        <v>80668532</v>
      </c>
      <c r="C410" s="69" t="s">
        <v>131</v>
      </c>
      <c r="D410" s="24" t="s">
        <v>699</v>
      </c>
      <c r="E410" s="314">
        <v>0.84416999999999998</v>
      </c>
      <c r="F410" s="87">
        <v>55.25</v>
      </c>
      <c r="G410" s="1"/>
    </row>
    <row r="411" spans="1:7" ht="18" hidden="1" x14ac:dyDescent="0.3">
      <c r="A411" s="68">
        <v>410</v>
      </c>
      <c r="B411" s="273">
        <v>72045</v>
      </c>
      <c r="C411" s="273" t="s">
        <v>519</v>
      </c>
      <c r="D411" s="34" t="s">
        <v>705</v>
      </c>
      <c r="E411" s="315">
        <v>0.84343000000000001</v>
      </c>
      <c r="F411" s="316">
        <v>35.630000000000003</v>
      </c>
      <c r="G411" s="1"/>
    </row>
    <row r="412" spans="1:7" ht="18" x14ac:dyDescent="0.3">
      <c r="A412" s="68">
        <v>411</v>
      </c>
      <c r="B412" s="69">
        <v>80661219</v>
      </c>
      <c r="C412" s="69" t="s">
        <v>366</v>
      </c>
      <c r="D412" s="24" t="s">
        <v>635</v>
      </c>
      <c r="E412" s="315">
        <v>0.84326000000000001</v>
      </c>
      <c r="F412" s="94">
        <v>59.05</v>
      </c>
      <c r="G412" s="1"/>
    </row>
    <row r="413" spans="1:7" ht="18" hidden="1" x14ac:dyDescent="0.3">
      <c r="A413" s="68">
        <v>412</v>
      </c>
      <c r="B413" s="69">
        <v>80661193</v>
      </c>
      <c r="C413" s="69" t="s">
        <v>543</v>
      </c>
      <c r="D413" s="24" t="s">
        <v>695</v>
      </c>
      <c r="E413" s="315">
        <v>0.84255999999999998</v>
      </c>
      <c r="F413" s="166">
        <v>54.63</v>
      </c>
      <c r="G413" s="1"/>
    </row>
    <row r="414" spans="1:7" ht="18" hidden="1" x14ac:dyDescent="0.3">
      <c r="A414" s="68">
        <v>413</v>
      </c>
      <c r="B414" s="273">
        <v>67949</v>
      </c>
      <c r="C414" s="273" t="s">
        <v>508</v>
      </c>
      <c r="D414" s="34" t="s">
        <v>706</v>
      </c>
      <c r="E414" s="317">
        <v>0.84040000000000004</v>
      </c>
      <c r="F414" s="152">
        <v>54.95</v>
      </c>
      <c r="G414" s="1"/>
    </row>
    <row r="415" spans="1:7" ht="18" hidden="1" x14ac:dyDescent="0.3">
      <c r="A415" s="68">
        <v>414</v>
      </c>
      <c r="B415" s="69">
        <v>80665332</v>
      </c>
      <c r="C415" s="69" t="s">
        <v>596</v>
      </c>
      <c r="D415" s="24" t="s">
        <v>701</v>
      </c>
      <c r="E415" s="317">
        <v>0.84014</v>
      </c>
      <c r="F415" s="125">
        <v>57</v>
      </c>
      <c r="G415" s="1"/>
    </row>
    <row r="416" spans="1:7" ht="18" hidden="1" x14ac:dyDescent="0.3">
      <c r="A416" s="68">
        <v>415</v>
      </c>
      <c r="B416" s="69">
        <v>80674463</v>
      </c>
      <c r="C416" s="69" t="s">
        <v>41</v>
      </c>
      <c r="D416" s="24" t="s">
        <v>638</v>
      </c>
      <c r="E416" s="318">
        <v>0.83860000000000001</v>
      </c>
      <c r="F416" s="208">
        <v>50.45</v>
      </c>
      <c r="G416" s="1"/>
    </row>
    <row r="417" spans="1:7" ht="18" hidden="1" x14ac:dyDescent="0.3">
      <c r="A417" s="68">
        <v>416</v>
      </c>
      <c r="B417" s="273">
        <v>73097</v>
      </c>
      <c r="C417" s="273" t="s">
        <v>524</v>
      </c>
      <c r="D417" s="34" t="s">
        <v>703</v>
      </c>
      <c r="E417" s="318">
        <v>0.83770999999999995</v>
      </c>
      <c r="F417" s="319">
        <v>38.15</v>
      </c>
      <c r="G417" s="1"/>
    </row>
    <row r="418" spans="1:7" ht="18" hidden="1" x14ac:dyDescent="0.3">
      <c r="A418" s="68">
        <v>417</v>
      </c>
      <c r="B418" s="69">
        <v>80660895</v>
      </c>
      <c r="C418" s="69" t="s">
        <v>129</v>
      </c>
      <c r="D418" s="24" t="s">
        <v>699</v>
      </c>
      <c r="E418" s="318">
        <v>0.83728999999999998</v>
      </c>
      <c r="F418" s="266">
        <v>47</v>
      </c>
      <c r="G418" s="1"/>
    </row>
    <row r="419" spans="1:7" ht="18" hidden="1" x14ac:dyDescent="0.3">
      <c r="A419" s="68">
        <v>418</v>
      </c>
      <c r="B419" s="273">
        <v>64076</v>
      </c>
      <c r="C419" s="273" t="s">
        <v>521</v>
      </c>
      <c r="D419" s="34" t="s">
        <v>705</v>
      </c>
      <c r="E419" s="320">
        <v>0.83665999999999996</v>
      </c>
      <c r="F419" s="90">
        <v>59.79</v>
      </c>
      <c r="G419" s="1"/>
    </row>
    <row r="420" spans="1:7" ht="18" hidden="1" x14ac:dyDescent="0.3">
      <c r="A420" s="68">
        <v>419</v>
      </c>
      <c r="B420" s="69">
        <v>80669273</v>
      </c>
      <c r="C420" s="69" t="s">
        <v>600</v>
      </c>
      <c r="D420" s="24" t="s">
        <v>683</v>
      </c>
      <c r="E420" s="321">
        <v>0.83</v>
      </c>
      <c r="F420" s="122">
        <v>63</v>
      </c>
      <c r="G420" s="1"/>
    </row>
    <row r="421" spans="1:7" ht="18" hidden="1" x14ac:dyDescent="0.3">
      <c r="A421" s="68">
        <v>420</v>
      </c>
      <c r="B421" s="69">
        <v>80674468</v>
      </c>
      <c r="C421" s="69" t="s">
        <v>458</v>
      </c>
      <c r="D421" s="24" t="s">
        <v>640</v>
      </c>
      <c r="E421" s="321">
        <v>0.82916000000000001</v>
      </c>
      <c r="F421" s="222">
        <v>53.5</v>
      </c>
      <c r="G421" s="1"/>
    </row>
    <row r="422" spans="1:7" ht="18" hidden="1" x14ac:dyDescent="0.3">
      <c r="A422" s="68">
        <v>421</v>
      </c>
      <c r="B422" s="69">
        <v>80667635</v>
      </c>
      <c r="C422" s="69" t="s">
        <v>215</v>
      </c>
      <c r="D422" s="24" t="s">
        <v>677</v>
      </c>
      <c r="E422" s="322">
        <v>0.82850999999999997</v>
      </c>
      <c r="F422" s="208">
        <v>50.47</v>
      </c>
      <c r="G422" s="1"/>
    </row>
    <row r="423" spans="1:7" ht="18" hidden="1" x14ac:dyDescent="0.3">
      <c r="A423" s="68">
        <v>422</v>
      </c>
      <c r="B423" s="69">
        <v>80672173</v>
      </c>
      <c r="C423" s="69" t="s">
        <v>595</v>
      </c>
      <c r="D423" s="24" t="s">
        <v>701</v>
      </c>
      <c r="E423" s="322">
        <v>0.82845000000000002</v>
      </c>
      <c r="F423" s="323">
        <v>46.69</v>
      </c>
      <c r="G423" s="1"/>
    </row>
    <row r="424" spans="1:7" ht="18" hidden="1" x14ac:dyDescent="0.3">
      <c r="A424" s="68">
        <v>423</v>
      </c>
      <c r="B424" s="69">
        <v>80661438</v>
      </c>
      <c r="C424" s="69" t="s">
        <v>440</v>
      </c>
      <c r="D424" s="24" t="s">
        <v>651</v>
      </c>
      <c r="E424" s="324">
        <v>0.82799999999999996</v>
      </c>
      <c r="F424" s="246">
        <v>61.18</v>
      </c>
      <c r="G424" s="1"/>
    </row>
    <row r="425" spans="1:7" ht="18" hidden="1" x14ac:dyDescent="0.3">
      <c r="A425" s="68">
        <v>424</v>
      </c>
      <c r="B425" s="69">
        <v>80661139</v>
      </c>
      <c r="C425" s="69" t="s">
        <v>126</v>
      </c>
      <c r="D425" s="24" t="s">
        <v>646</v>
      </c>
      <c r="E425" s="324">
        <v>0.82799999999999996</v>
      </c>
      <c r="F425" s="84">
        <v>57.47</v>
      </c>
      <c r="G425" s="1"/>
    </row>
    <row r="426" spans="1:7" ht="18" hidden="1" x14ac:dyDescent="0.3">
      <c r="A426" s="68">
        <v>425</v>
      </c>
      <c r="B426" s="69">
        <v>80673628</v>
      </c>
      <c r="C426" s="69" t="s">
        <v>573</v>
      </c>
      <c r="D426" s="24" t="s">
        <v>632</v>
      </c>
      <c r="E426" s="325">
        <v>0.82228999999999997</v>
      </c>
      <c r="F426" s="198">
        <v>53.11</v>
      </c>
      <c r="G426" s="1"/>
    </row>
    <row r="427" spans="1:7" ht="18" hidden="1" x14ac:dyDescent="0.3">
      <c r="A427" s="68">
        <v>426</v>
      </c>
      <c r="B427" s="69">
        <v>80664666</v>
      </c>
      <c r="C427" s="69" t="s">
        <v>342</v>
      </c>
      <c r="D427" s="24" t="s">
        <v>653</v>
      </c>
      <c r="E427" s="326">
        <v>0.81877999999999995</v>
      </c>
      <c r="F427" s="188">
        <v>48.8</v>
      </c>
      <c r="G427" s="1"/>
    </row>
    <row r="428" spans="1:7" ht="18" hidden="1" x14ac:dyDescent="0.3">
      <c r="A428" s="68">
        <v>427</v>
      </c>
      <c r="B428" s="69">
        <v>80672850</v>
      </c>
      <c r="C428" s="69" t="s">
        <v>39</v>
      </c>
      <c r="D428" s="24" t="s">
        <v>638</v>
      </c>
      <c r="E428" s="327">
        <v>0.81723000000000001</v>
      </c>
      <c r="F428" s="221">
        <v>47.89</v>
      </c>
      <c r="G428" s="1"/>
    </row>
    <row r="429" spans="1:7" ht="18" hidden="1" x14ac:dyDescent="0.3">
      <c r="A429" s="68">
        <v>428</v>
      </c>
      <c r="B429" s="69">
        <v>80674454</v>
      </c>
      <c r="C429" s="69" t="s">
        <v>60</v>
      </c>
      <c r="D429" s="24" t="s">
        <v>679</v>
      </c>
      <c r="E429" s="328">
        <v>0.81366000000000005</v>
      </c>
      <c r="F429" s="329">
        <v>51.5</v>
      </c>
      <c r="G429" s="1"/>
    </row>
    <row r="430" spans="1:7" ht="18" hidden="1" x14ac:dyDescent="0.3">
      <c r="A430" s="68">
        <v>429</v>
      </c>
      <c r="B430" s="69">
        <v>80671873</v>
      </c>
      <c r="C430" s="69" t="s">
        <v>589</v>
      </c>
      <c r="D430" s="24" t="s">
        <v>696</v>
      </c>
      <c r="E430" s="330">
        <v>0.81227000000000005</v>
      </c>
      <c r="F430" s="329">
        <v>51.47</v>
      </c>
      <c r="G430" s="1"/>
    </row>
    <row r="431" spans="1:7" ht="18" hidden="1" x14ac:dyDescent="0.3">
      <c r="A431" s="68">
        <v>430</v>
      </c>
      <c r="B431" s="273">
        <v>67155</v>
      </c>
      <c r="C431" s="273" t="s">
        <v>506</v>
      </c>
      <c r="D431" s="34" t="s">
        <v>706</v>
      </c>
      <c r="E431" s="331">
        <v>0.80952000000000002</v>
      </c>
      <c r="F431" s="199">
        <v>47.33</v>
      </c>
      <c r="G431" s="1"/>
    </row>
    <row r="432" spans="1:7" ht="18" hidden="1" x14ac:dyDescent="0.3">
      <c r="A432" s="68">
        <v>431</v>
      </c>
      <c r="B432" s="69">
        <v>80674451</v>
      </c>
      <c r="C432" s="69" t="s">
        <v>412</v>
      </c>
      <c r="D432" s="24" t="s">
        <v>641</v>
      </c>
      <c r="E432" s="332">
        <v>0.80786000000000002</v>
      </c>
      <c r="F432" s="333">
        <v>42.55</v>
      </c>
      <c r="G432" s="1"/>
    </row>
    <row r="433" spans="1:7" ht="18" hidden="1" x14ac:dyDescent="0.3">
      <c r="A433" s="68">
        <v>432</v>
      </c>
      <c r="B433" s="273">
        <v>70008</v>
      </c>
      <c r="C433" s="273" t="s">
        <v>518</v>
      </c>
      <c r="D433" s="34" t="s">
        <v>705</v>
      </c>
      <c r="E433" s="334">
        <v>0.80703000000000003</v>
      </c>
      <c r="F433" s="335">
        <v>24.78</v>
      </c>
      <c r="G433" s="1"/>
    </row>
    <row r="434" spans="1:7" ht="18" hidden="1" x14ac:dyDescent="0.3">
      <c r="A434" s="68">
        <v>433</v>
      </c>
      <c r="B434" s="69">
        <v>80666871</v>
      </c>
      <c r="C434" s="69" t="s">
        <v>49</v>
      </c>
      <c r="D434" s="24" t="s">
        <v>654</v>
      </c>
      <c r="E434" s="336">
        <v>0.80576000000000003</v>
      </c>
      <c r="F434" s="337">
        <v>40.71</v>
      </c>
      <c r="G434" s="1"/>
    </row>
    <row r="435" spans="1:7" ht="18" hidden="1" x14ac:dyDescent="0.3">
      <c r="A435" s="68">
        <v>434</v>
      </c>
      <c r="B435" s="69">
        <v>80670789</v>
      </c>
      <c r="C435" s="69" t="s">
        <v>123</v>
      </c>
      <c r="D435" s="24" t="s">
        <v>646</v>
      </c>
      <c r="E435" s="338">
        <v>0.80369000000000002</v>
      </c>
      <c r="F435" s="339">
        <v>31.19</v>
      </c>
      <c r="G435" s="1"/>
    </row>
    <row r="436" spans="1:7" ht="18" hidden="1" x14ac:dyDescent="0.3">
      <c r="A436" s="68">
        <v>435</v>
      </c>
      <c r="B436" s="69">
        <v>80661234</v>
      </c>
      <c r="C436" s="69" t="s">
        <v>480</v>
      </c>
      <c r="D436" s="24" t="s">
        <v>684</v>
      </c>
      <c r="E436" s="338">
        <v>0.80362</v>
      </c>
      <c r="F436" s="106">
        <v>51.79</v>
      </c>
      <c r="G436" s="1"/>
    </row>
    <row r="437" spans="1:7" ht="18" hidden="1" x14ac:dyDescent="0.3">
      <c r="A437" s="68">
        <v>436</v>
      </c>
      <c r="B437" s="24">
        <v>80674470</v>
      </c>
      <c r="C437" s="24" t="s">
        <v>601</v>
      </c>
      <c r="D437" s="24" t="s">
        <v>683</v>
      </c>
      <c r="E437" s="340">
        <v>0.80208000000000002</v>
      </c>
      <c r="F437" s="223">
        <v>46.3</v>
      </c>
      <c r="G437" s="1"/>
    </row>
    <row r="438" spans="1:7" ht="18" hidden="1" x14ac:dyDescent="0.3">
      <c r="A438" s="68">
        <v>437</v>
      </c>
      <c r="B438" s="24">
        <v>80665317</v>
      </c>
      <c r="C438" s="24" t="s">
        <v>437</v>
      </c>
      <c r="D438" s="24" t="s">
        <v>700</v>
      </c>
      <c r="E438" s="341">
        <v>0.79759999999999998</v>
      </c>
      <c r="F438" s="302">
        <v>51.64</v>
      </c>
      <c r="G438" s="1"/>
    </row>
    <row r="439" spans="1:7" ht="18" hidden="1" x14ac:dyDescent="0.3">
      <c r="A439" s="68">
        <v>438</v>
      </c>
      <c r="B439" s="24">
        <v>80668041</v>
      </c>
      <c r="C439" s="24" t="s">
        <v>434</v>
      </c>
      <c r="D439" s="24" t="s">
        <v>700</v>
      </c>
      <c r="E439" s="342">
        <v>0.79625999999999997</v>
      </c>
      <c r="F439" s="329">
        <v>51.42</v>
      </c>
      <c r="G439" s="1"/>
    </row>
    <row r="440" spans="1:7" ht="18" hidden="1" x14ac:dyDescent="0.3">
      <c r="A440" s="68">
        <v>439</v>
      </c>
      <c r="B440" s="24">
        <v>80669287</v>
      </c>
      <c r="C440" s="24" t="s">
        <v>531</v>
      </c>
      <c r="D440" s="24" t="s">
        <v>672</v>
      </c>
      <c r="E440" s="342">
        <v>0.79603000000000002</v>
      </c>
      <c r="F440" s="293">
        <v>52.5</v>
      </c>
      <c r="G440" s="1"/>
    </row>
    <row r="441" spans="1:7" ht="18" hidden="1" x14ac:dyDescent="0.3">
      <c r="A441" s="68">
        <v>440</v>
      </c>
      <c r="B441" s="24">
        <v>80661161</v>
      </c>
      <c r="C441" s="24" t="s">
        <v>546</v>
      </c>
      <c r="D441" s="24" t="s">
        <v>695</v>
      </c>
      <c r="E441" s="343">
        <v>0.79391999999999996</v>
      </c>
      <c r="F441" s="344">
        <v>45.75</v>
      </c>
      <c r="G441" s="1"/>
    </row>
    <row r="442" spans="1:7" ht="18" hidden="1" x14ac:dyDescent="0.3">
      <c r="A442" s="68">
        <v>441</v>
      </c>
      <c r="B442" s="24">
        <v>80667649</v>
      </c>
      <c r="C442" s="24" t="s">
        <v>248</v>
      </c>
      <c r="D442" s="24" t="s">
        <v>658</v>
      </c>
      <c r="E442" s="345">
        <v>0.79049000000000003</v>
      </c>
      <c r="F442" s="127">
        <v>50</v>
      </c>
      <c r="G442" s="1"/>
    </row>
    <row r="443" spans="1:7" ht="18" hidden="1" x14ac:dyDescent="0.3">
      <c r="A443" s="68">
        <v>442</v>
      </c>
      <c r="B443" s="24">
        <v>80664000</v>
      </c>
      <c r="C443" s="24" t="s">
        <v>281</v>
      </c>
      <c r="D443" s="24" t="s">
        <v>692</v>
      </c>
      <c r="E443" s="346">
        <v>0.78515999999999997</v>
      </c>
      <c r="F443" s="266">
        <v>46.82</v>
      </c>
      <c r="G443" s="1"/>
    </row>
    <row r="444" spans="1:7" ht="18" hidden="1" x14ac:dyDescent="0.3">
      <c r="A444" s="68">
        <v>443</v>
      </c>
      <c r="B444" s="24">
        <v>80659419</v>
      </c>
      <c r="C444" s="24" t="s">
        <v>360</v>
      </c>
      <c r="D444" s="24" t="s">
        <v>620</v>
      </c>
      <c r="E444" s="347">
        <v>0.77729000000000004</v>
      </c>
      <c r="F444" s="119">
        <v>70.06</v>
      </c>
      <c r="G444" s="1"/>
    </row>
    <row r="445" spans="1:7" ht="18" hidden="1" x14ac:dyDescent="0.3">
      <c r="A445" s="68">
        <v>444</v>
      </c>
      <c r="B445" s="34">
        <v>72756</v>
      </c>
      <c r="C445" s="34" t="s">
        <v>526</v>
      </c>
      <c r="D445" s="34" t="s">
        <v>703</v>
      </c>
      <c r="E445" s="348">
        <v>0.77390000000000003</v>
      </c>
      <c r="F445" s="349">
        <v>27.67</v>
      </c>
      <c r="G445" s="1"/>
    </row>
    <row r="446" spans="1:7" ht="18" hidden="1" x14ac:dyDescent="0.3">
      <c r="A446" s="68">
        <v>445</v>
      </c>
      <c r="B446" s="34">
        <v>73100</v>
      </c>
      <c r="C446" s="34" t="s">
        <v>509</v>
      </c>
      <c r="D446" s="34" t="s">
        <v>706</v>
      </c>
      <c r="E446" s="350">
        <v>0.76959999999999995</v>
      </c>
      <c r="F446" s="351">
        <v>33.18</v>
      </c>
      <c r="G446" s="1"/>
    </row>
    <row r="447" spans="1:7" ht="18" hidden="1" x14ac:dyDescent="0.3">
      <c r="A447" s="68">
        <v>446</v>
      </c>
      <c r="B447" s="34">
        <v>61740</v>
      </c>
      <c r="C447" s="34" t="s">
        <v>507</v>
      </c>
      <c r="D447" s="34" t="s">
        <v>706</v>
      </c>
      <c r="E447" s="352">
        <v>0.76815</v>
      </c>
      <c r="F447" s="353">
        <v>23.53</v>
      </c>
      <c r="G447" s="1"/>
    </row>
    <row r="448" spans="1:7" ht="18" hidden="1" x14ac:dyDescent="0.3">
      <c r="A448" s="68">
        <v>447</v>
      </c>
      <c r="B448" s="24">
        <v>80672802</v>
      </c>
      <c r="C448" s="24" t="s">
        <v>604</v>
      </c>
      <c r="D448" s="24" t="s">
        <v>683</v>
      </c>
      <c r="E448" s="354">
        <v>0.76244999999999996</v>
      </c>
      <c r="F448" s="344">
        <v>45.74</v>
      </c>
      <c r="G448" s="1"/>
    </row>
    <row r="449" spans="1:7" ht="18" hidden="1" x14ac:dyDescent="0.3">
      <c r="A449" s="68">
        <v>448</v>
      </c>
      <c r="B449" s="24">
        <v>80665169</v>
      </c>
      <c r="C449" s="24" t="s">
        <v>386</v>
      </c>
      <c r="D449" s="24" t="s">
        <v>660</v>
      </c>
      <c r="E449" s="355">
        <v>0.76215999999999995</v>
      </c>
      <c r="F449" s="126">
        <v>54.47</v>
      </c>
      <c r="G449" s="1"/>
    </row>
    <row r="450" spans="1:7" ht="18" hidden="1" x14ac:dyDescent="0.3">
      <c r="A450" s="68">
        <v>449</v>
      </c>
      <c r="B450" s="24">
        <v>80673116</v>
      </c>
      <c r="C450" s="24" t="s">
        <v>305</v>
      </c>
      <c r="D450" s="24" t="s">
        <v>642</v>
      </c>
      <c r="E450" s="356">
        <v>0.75244</v>
      </c>
      <c r="F450" s="313">
        <v>40.9</v>
      </c>
      <c r="G450" s="1"/>
    </row>
    <row r="451" spans="1:7" ht="18" hidden="1" x14ac:dyDescent="0.3">
      <c r="A451" s="68">
        <v>450</v>
      </c>
      <c r="B451" s="34">
        <v>74732</v>
      </c>
      <c r="C451" s="34" t="s">
        <v>522</v>
      </c>
      <c r="D451" s="34" t="s">
        <v>705</v>
      </c>
      <c r="E451" s="357">
        <v>0.74521999999999999</v>
      </c>
      <c r="F451" s="358">
        <v>19.940000000000001</v>
      </c>
      <c r="G451" s="1"/>
    </row>
    <row r="452" spans="1:7" ht="18" hidden="1" x14ac:dyDescent="0.3">
      <c r="A452" s="68">
        <v>451</v>
      </c>
      <c r="B452" s="34">
        <v>64256</v>
      </c>
      <c r="C452" s="34" t="s">
        <v>94</v>
      </c>
      <c r="D452" s="34" t="s">
        <v>704</v>
      </c>
      <c r="E452" s="359">
        <v>0.72565000000000002</v>
      </c>
      <c r="F452" s="360">
        <v>35.83</v>
      </c>
      <c r="G452" s="1"/>
    </row>
    <row r="453" spans="1:7" ht="18" hidden="1" x14ac:dyDescent="0.3">
      <c r="A453" s="68">
        <v>452</v>
      </c>
      <c r="B453" s="34">
        <v>63582</v>
      </c>
      <c r="C453" s="34" t="s">
        <v>92</v>
      </c>
      <c r="D453" s="34" t="s">
        <v>704</v>
      </c>
      <c r="E453" s="361">
        <v>0.71825000000000006</v>
      </c>
      <c r="F453" s="360">
        <v>35.75</v>
      </c>
      <c r="G453" s="1"/>
    </row>
  </sheetData>
  <autoFilter ref="A1:G453" xr:uid="{B1B4E665-FE65-454E-B0BC-C6FEE5233222}">
    <filterColumn colId="3">
      <filters>
        <filter val="ROC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2553-F984-406E-A0FE-38827FD68BF4}">
  <dimension ref="A1:G46"/>
  <sheetViews>
    <sheetView workbookViewId="0">
      <selection activeCell="C18" sqref="C18"/>
    </sheetView>
  </sheetViews>
  <sheetFormatPr defaultRowHeight="14.4" x14ac:dyDescent="0.3"/>
  <cols>
    <col min="1" max="1" width="3.6640625" bestFit="1" customWidth="1"/>
    <col min="2" max="2" width="7.6640625" bestFit="1" customWidth="1"/>
    <col min="3" max="3" width="49" customWidth="1"/>
    <col min="4" max="4" width="6" bestFit="1" customWidth="1"/>
    <col min="5" max="5" width="8" bestFit="1" customWidth="1"/>
    <col min="6" max="6" width="15.33203125" bestFit="1" customWidth="1"/>
    <col min="7" max="7" width="8.21875" bestFit="1" customWidth="1"/>
  </cols>
  <sheetData>
    <row r="1" spans="1:7" ht="18" x14ac:dyDescent="0.35">
      <c r="A1" s="64" t="s">
        <v>3</v>
      </c>
      <c r="B1" s="64" t="s">
        <v>612</v>
      </c>
      <c r="C1" s="65" t="s">
        <v>613</v>
      </c>
      <c r="D1" s="372" t="s">
        <v>614</v>
      </c>
      <c r="E1" s="67" t="s">
        <v>15</v>
      </c>
      <c r="F1" s="67" t="s">
        <v>615</v>
      </c>
      <c r="G1" s="1"/>
    </row>
    <row r="2" spans="1:7" ht="18" x14ac:dyDescent="0.3">
      <c r="A2" s="68">
        <v>1</v>
      </c>
      <c r="B2" s="30">
        <v>82748</v>
      </c>
      <c r="C2" s="373" t="s">
        <v>235</v>
      </c>
      <c r="D2" s="30" t="s">
        <v>650</v>
      </c>
      <c r="E2" s="70">
        <v>1</v>
      </c>
      <c r="F2" s="131">
        <v>80.55</v>
      </c>
      <c r="G2" s="72" t="s">
        <v>617</v>
      </c>
    </row>
    <row r="3" spans="1:7" ht="18" x14ac:dyDescent="0.3">
      <c r="A3" s="68">
        <v>2</v>
      </c>
      <c r="B3" s="30">
        <v>82403</v>
      </c>
      <c r="C3" s="371" t="s">
        <v>219</v>
      </c>
      <c r="D3" s="30" t="s">
        <v>710</v>
      </c>
      <c r="E3" s="70">
        <v>1</v>
      </c>
      <c r="F3" s="143">
        <v>76.95</v>
      </c>
      <c r="G3" s="374"/>
    </row>
    <row r="4" spans="1:7" ht="18" x14ac:dyDescent="0.3">
      <c r="A4" s="68">
        <v>3</v>
      </c>
      <c r="B4" s="30">
        <v>82416</v>
      </c>
      <c r="C4" s="373" t="s">
        <v>541</v>
      </c>
      <c r="D4" s="30" t="s">
        <v>687</v>
      </c>
      <c r="E4" s="70">
        <v>1</v>
      </c>
      <c r="F4" s="191">
        <v>75.95</v>
      </c>
      <c r="G4" s="374"/>
    </row>
    <row r="5" spans="1:7" ht="18" x14ac:dyDescent="0.3">
      <c r="A5" s="68">
        <v>4</v>
      </c>
      <c r="B5" s="30">
        <v>82543</v>
      </c>
      <c r="C5" s="371" t="s">
        <v>501</v>
      </c>
      <c r="D5" s="30" t="s">
        <v>709</v>
      </c>
      <c r="E5" s="70">
        <v>1</v>
      </c>
      <c r="F5" s="100">
        <v>73.2</v>
      </c>
      <c r="G5" s="374"/>
    </row>
    <row r="6" spans="1:7" ht="18" x14ac:dyDescent="0.3">
      <c r="A6" s="68">
        <v>5</v>
      </c>
      <c r="B6" s="30">
        <v>82406</v>
      </c>
      <c r="C6" s="371" t="s">
        <v>103</v>
      </c>
      <c r="D6" s="30" t="s">
        <v>708</v>
      </c>
      <c r="E6" s="70">
        <v>1</v>
      </c>
      <c r="F6" s="83">
        <v>72.209999999999994</v>
      </c>
      <c r="G6" s="374"/>
    </row>
    <row r="7" spans="1:7" ht="18" x14ac:dyDescent="0.3">
      <c r="A7" s="68">
        <v>6</v>
      </c>
      <c r="B7" s="30">
        <v>82417</v>
      </c>
      <c r="C7" s="371" t="s">
        <v>218</v>
      </c>
      <c r="D7" s="30" t="s">
        <v>710</v>
      </c>
      <c r="E7" s="70">
        <v>1</v>
      </c>
      <c r="F7" s="83">
        <v>72.16</v>
      </c>
      <c r="G7" s="374"/>
    </row>
    <row r="8" spans="1:7" ht="18" x14ac:dyDescent="0.3">
      <c r="A8" s="68">
        <v>7</v>
      </c>
      <c r="B8" s="30">
        <v>83282</v>
      </c>
      <c r="C8" s="371" t="s">
        <v>294</v>
      </c>
      <c r="D8" s="30" t="s">
        <v>712</v>
      </c>
      <c r="E8" s="70">
        <v>1</v>
      </c>
      <c r="F8" s="85">
        <v>71</v>
      </c>
      <c r="G8" s="1"/>
    </row>
    <row r="9" spans="1:7" ht="18" x14ac:dyDescent="0.3">
      <c r="A9" s="68">
        <v>8</v>
      </c>
      <c r="B9" s="41">
        <v>82435</v>
      </c>
      <c r="C9" s="373" t="s">
        <v>127</v>
      </c>
      <c r="D9" s="30" t="s">
        <v>646</v>
      </c>
      <c r="E9" s="102">
        <v>0.99919000000000002</v>
      </c>
      <c r="F9" s="84">
        <v>71.7</v>
      </c>
      <c r="G9" s="1"/>
    </row>
    <row r="10" spans="1:7" ht="18" x14ac:dyDescent="0.3">
      <c r="A10" s="68">
        <v>9</v>
      </c>
      <c r="B10" s="30">
        <v>82721</v>
      </c>
      <c r="C10" s="30" t="s">
        <v>26</v>
      </c>
      <c r="D10" s="30" t="s">
        <v>668</v>
      </c>
      <c r="E10" s="375">
        <v>0.99895</v>
      </c>
      <c r="F10" s="85">
        <v>71.25</v>
      </c>
      <c r="G10" s="1"/>
    </row>
    <row r="11" spans="1:7" ht="18" x14ac:dyDescent="0.3">
      <c r="A11" s="68">
        <v>10</v>
      </c>
      <c r="B11" s="30">
        <v>82673</v>
      </c>
      <c r="C11" s="30" t="s">
        <v>293</v>
      </c>
      <c r="D11" s="30" t="s">
        <v>712</v>
      </c>
      <c r="E11" s="376">
        <v>0.99865000000000004</v>
      </c>
      <c r="F11" s="94">
        <v>74.95</v>
      </c>
      <c r="G11" s="1"/>
    </row>
    <row r="12" spans="1:7" ht="18" x14ac:dyDescent="0.3">
      <c r="A12" s="68">
        <v>11</v>
      </c>
      <c r="B12" s="30">
        <v>82404</v>
      </c>
      <c r="C12" s="41" t="s">
        <v>295</v>
      </c>
      <c r="D12" s="30" t="s">
        <v>712</v>
      </c>
      <c r="E12" s="377">
        <v>0.99789000000000005</v>
      </c>
      <c r="F12" s="133">
        <v>73.61</v>
      </c>
      <c r="G12" s="1"/>
    </row>
    <row r="13" spans="1:7" ht="18" x14ac:dyDescent="0.3">
      <c r="A13" s="68">
        <v>12</v>
      </c>
      <c r="B13" s="30">
        <v>82399</v>
      </c>
      <c r="C13" s="30" t="s">
        <v>141</v>
      </c>
      <c r="D13" s="30" t="s">
        <v>711</v>
      </c>
      <c r="E13" s="378">
        <v>0.99502999999999997</v>
      </c>
      <c r="F13" s="379">
        <v>64.790000000000006</v>
      </c>
      <c r="G13" s="1"/>
    </row>
    <row r="14" spans="1:7" ht="36" x14ac:dyDescent="0.3">
      <c r="A14" s="68">
        <v>13</v>
      </c>
      <c r="B14" s="30">
        <v>82586</v>
      </c>
      <c r="C14" s="33" t="s">
        <v>533</v>
      </c>
      <c r="D14" s="30" t="s">
        <v>672</v>
      </c>
      <c r="E14" s="187">
        <v>0.98863000000000001</v>
      </c>
      <c r="F14" s="360">
        <v>63.56</v>
      </c>
      <c r="G14" s="1"/>
    </row>
    <row r="15" spans="1:7" ht="18" x14ac:dyDescent="0.3">
      <c r="A15" s="68">
        <v>14</v>
      </c>
      <c r="B15" s="30">
        <v>82395</v>
      </c>
      <c r="C15" s="33" t="s">
        <v>177</v>
      </c>
      <c r="D15" s="30" t="s">
        <v>622</v>
      </c>
      <c r="E15" s="231">
        <v>0.97894999999999999</v>
      </c>
      <c r="F15" s="71">
        <v>183.5</v>
      </c>
      <c r="G15" s="1"/>
    </row>
    <row r="16" spans="1:7" ht="18" x14ac:dyDescent="0.3">
      <c r="A16" s="68">
        <v>15</v>
      </c>
      <c r="B16" s="30">
        <v>82538</v>
      </c>
      <c r="C16" s="30" t="s">
        <v>499</v>
      </c>
      <c r="D16" s="30" t="s">
        <v>709</v>
      </c>
      <c r="E16" s="231">
        <v>0.97894999999999999</v>
      </c>
      <c r="F16" s="380">
        <v>153</v>
      </c>
      <c r="G16" s="1"/>
    </row>
    <row r="17" spans="1:7" ht="18" x14ac:dyDescent="0.3">
      <c r="A17" s="68">
        <v>16</v>
      </c>
      <c r="B17" s="30">
        <v>82413</v>
      </c>
      <c r="C17" s="30" t="s">
        <v>222</v>
      </c>
      <c r="D17" s="30" t="s">
        <v>710</v>
      </c>
      <c r="E17" s="231">
        <v>0.97894999999999999</v>
      </c>
      <c r="F17" s="133">
        <v>73.72</v>
      </c>
      <c r="G17" s="1"/>
    </row>
    <row r="18" spans="1:7" ht="18" x14ac:dyDescent="0.3">
      <c r="A18" s="68">
        <v>17</v>
      </c>
      <c r="B18" s="30">
        <v>82407</v>
      </c>
      <c r="C18" s="30" t="s">
        <v>108</v>
      </c>
      <c r="D18" s="30" t="s">
        <v>708</v>
      </c>
      <c r="E18" s="231">
        <v>0.97894999999999999</v>
      </c>
      <c r="F18" s="93">
        <v>73.5</v>
      </c>
      <c r="G18" s="1"/>
    </row>
    <row r="19" spans="1:7" ht="18" x14ac:dyDescent="0.3">
      <c r="A19" s="68">
        <v>18</v>
      </c>
      <c r="B19" s="30">
        <v>82444</v>
      </c>
      <c r="C19" s="30" t="s">
        <v>223</v>
      </c>
      <c r="D19" s="30" t="s">
        <v>710</v>
      </c>
      <c r="E19" s="231">
        <v>0.97894999999999999</v>
      </c>
      <c r="F19" s="83">
        <v>72.849999999999994</v>
      </c>
      <c r="G19" s="1"/>
    </row>
    <row r="20" spans="1:7" ht="18" x14ac:dyDescent="0.3">
      <c r="A20" s="68">
        <v>19</v>
      </c>
      <c r="B20" s="30">
        <v>82581</v>
      </c>
      <c r="C20" s="30" t="s">
        <v>292</v>
      </c>
      <c r="D20" s="30" t="s">
        <v>712</v>
      </c>
      <c r="E20" s="231">
        <v>0.97894999999999999</v>
      </c>
      <c r="F20" s="87">
        <v>70.13</v>
      </c>
      <c r="G20" s="1"/>
    </row>
    <row r="21" spans="1:7" ht="18" x14ac:dyDescent="0.3">
      <c r="A21" s="68">
        <v>20</v>
      </c>
      <c r="B21" s="30">
        <v>82631</v>
      </c>
      <c r="C21" s="33" t="s">
        <v>311</v>
      </c>
      <c r="D21" s="30" t="s">
        <v>686</v>
      </c>
      <c r="E21" s="231">
        <v>0.97894999999999999</v>
      </c>
      <c r="F21" s="152">
        <v>69.95</v>
      </c>
      <c r="G21" s="1"/>
    </row>
    <row r="22" spans="1:7" ht="18" x14ac:dyDescent="0.3">
      <c r="A22" s="68">
        <v>21</v>
      </c>
      <c r="B22" s="30">
        <v>82562</v>
      </c>
      <c r="C22" s="30" t="s">
        <v>296</v>
      </c>
      <c r="D22" s="30" t="s">
        <v>712</v>
      </c>
      <c r="E22" s="231">
        <v>0.97894999999999999</v>
      </c>
      <c r="F22" s="222">
        <v>69.55</v>
      </c>
      <c r="G22" s="1"/>
    </row>
    <row r="23" spans="1:7" ht="18" x14ac:dyDescent="0.3">
      <c r="A23" s="68">
        <v>22</v>
      </c>
      <c r="B23" s="30">
        <v>82405</v>
      </c>
      <c r="C23" s="30" t="s">
        <v>388</v>
      </c>
      <c r="D23" s="30" t="s">
        <v>660</v>
      </c>
      <c r="E23" s="231">
        <v>0.97894999999999999</v>
      </c>
      <c r="F23" s="198">
        <v>69.45</v>
      </c>
      <c r="G23" s="1"/>
    </row>
    <row r="24" spans="1:7" ht="18" x14ac:dyDescent="0.3">
      <c r="A24" s="68">
        <v>23</v>
      </c>
      <c r="B24" s="30">
        <v>82412</v>
      </c>
      <c r="C24" s="30" t="s">
        <v>221</v>
      </c>
      <c r="D24" s="30" t="s">
        <v>710</v>
      </c>
      <c r="E24" s="231">
        <v>0.97894999999999999</v>
      </c>
      <c r="F24" s="127">
        <v>68.37</v>
      </c>
      <c r="G24" s="1"/>
    </row>
    <row r="25" spans="1:7" ht="18" x14ac:dyDescent="0.3">
      <c r="A25" s="68">
        <v>24</v>
      </c>
      <c r="B25" s="30">
        <v>82457</v>
      </c>
      <c r="C25" s="30" t="s">
        <v>107</v>
      </c>
      <c r="D25" s="30" t="s">
        <v>708</v>
      </c>
      <c r="E25" s="232">
        <v>0.97874000000000005</v>
      </c>
      <c r="F25" s="108">
        <v>68.75</v>
      </c>
      <c r="G25" s="1"/>
    </row>
    <row r="26" spans="1:7" ht="36" x14ac:dyDescent="0.3">
      <c r="A26" s="68">
        <v>25</v>
      </c>
      <c r="B26" s="30">
        <v>82477</v>
      </c>
      <c r="C26" s="33" t="s">
        <v>516</v>
      </c>
      <c r="D26" s="30" t="s">
        <v>693</v>
      </c>
      <c r="E26" s="232">
        <v>0.97874000000000005</v>
      </c>
      <c r="F26" s="110">
        <v>68.53</v>
      </c>
      <c r="G26" s="1"/>
    </row>
    <row r="27" spans="1:7" ht="18" x14ac:dyDescent="0.3">
      <c r="A27" s="68">
        <v>26</v>
      </c>
      <c r="B27" s="30">
        <v>82414</v>
      </c>
      <c r="C27" s="33" t="s">
        <v>445</v>
      </c>
      <c r="D27" s="30" t="s">
        <v>651</v>
      </c>
      <c r="E27" s="233">
        <v>0.97853999999999997</v>
      </c>
      <c r="F27" s="90">
        <v>75.3</v>
      </c>
      <c r="G27" s="1"/>
    </row>
    <row r="28" spans="1:7" ht="18" x14ac:dyDescent="0.3">
      <c r="A28" s="68">
        <v>27</v>
      </c>
      <c r="B28" s="41">
        <v>82429</v>
      </c>
      <c r="C28" s="33" t="s">
        <v>82</v>
      </c>
      <c r="D28" s="30" t="s">
        <v>667</v>
      </c>
      <c r="E28" s="235">
        <v>0.97814000000000001</v>
      </c>
      <c r="F28" s="127">
        <v>68.319999999999993</v>
      </c>
      <c r="G28" s="1"/>
    </row>
    <row r="29" spans="1:7" ht="18" x14ac:dyDescent="0.3">
      <c r="A29" s="68">
        <v>28</v>
      </c>
      <c r="B29" s="30">
        <v>82535</v>
      </c>
      <c r="C29" s="30" t="s">
        <v>502</v>
      </c>
      <c r="D29" s="30" t="s">
        <v>709</v>
      </c>
      <c r="E29" s="237">
        <v>0.97684000000000004</v>
      </c>
      <c r="F29" s="381">
        <v>137</v>
      </c>
      <c r="G29" s="1"/>
    </row>
    <row r="30" spans="1:7" ht="18" x14ac:dyDescent="0.3">
      <c r="A30" s="68">
        <v>29</v>
      </c>
      <c r="B30" s="30">
        <v>82536</v>
      </c>
      <c r="C30" s="30" t="s">
        <v>298</v>
      </c>
      <c r="D30" s="30" t="s">
        <v>712</v>
      </c>
      <c r="E30" s="237">
        <v>0.97684000000000004</v>
      </c>
      <c r="F30" s="126">
        <v>69.84</v>
      </c>
      <c r="G30" s="1"/>
    </row>
    <row r="31" spans="1:7" ht="18" x14ac:dyDescent="0.3">
      <c r="A31" s="68">
        <v>30</v>
      </c>
      <c r="B31" s="30">
        <v>82419</v>
      </c>
      <c r="C31" s="30" t="s">
        <v>297</v>
      </c>
      <c r="D31" s="30" t="s">
        <v>712</v>
      </c>
      <c r="E31" s="237">
        <v>0.97663999999999995</v>
      </c>
      <c r="F31" s="198">
        <v>69.38</v>
      </c>
      <c r="G31" s="1"/>
    </row>
    <row r="32" spans="1:7" ht="18" x14ac:dyDescent="0.3">
      <c r="A32" s="68">
        <v>31</v>
      </c>
      <c r="B32" s="30">
        <v>82537</v>
      </c>
      <c r="C32" s="30" t="s">
        <v>136</v>
      </c>
      <c r="D32" s="30" t="s">
        <v>711</v>
      </c>
      <c r="E32" s="238">
        <v>0.97607999999999995</v>
      </c>
      <c r="F32" s="382">
        <v>66.150000000000006</v>
      </c>
      <c r="G32" s="1"/>
    </row>
    <row r="33" spans="1:7" ht="18" x14ac:dyDescent="0.3">
      <c r="A33" s="68">
        <v>32</v>
      </c>
      <c r="B33" s="30">
        <v>82415</v>
      </c>
      <c r="C33" s="33" t="s">
        <v>149</v>
      </c>
      <c r="D33" s="30" t="s">
        <v>637</v>
      </c>
      <c r="E33" s="240">
        <v>0.97521999999999998</v>
      </c>
      <c r="F33" s="84">
        <v>72.11</v>
      </c>
      <c r="G33" s="1"/>
    </row>
    <row r="34" spans="1:7" ht="18" x14ac:dyDescent="0.3">
      <c r="A34" s="68">
        <v>33</v>
      </c>
      <c r="B34" s="30">
        <v>82397</v>
      </c>
      <c r="C34" s="30" t="s">
        <v>106</v>
      </c>
      <c r="D34" s="30" t="s">
        <v>708</v>
      </c>
      <c r="E34" s="243">
        <v>0.97474000000000005</v>
      </c>
      <c r="F34" s="124">
        <v>80</v>
      </c>
      <c r="G34" s="1"/>
    </row>
    <row r="35" spans="1:7" ht="18" x14ac:dyDescent="0.3">
      <c r="A35" s="68">
        <v>34</v>
      </c>
      <c r="B35" s="30">
        <v>82410</v>
      </c>
      <c r="C35" s="41" t="s">
        <v>503</v>
      </c>
      <c r="D35" s="30" t="s">
        <v>709</v>
      </c>
      <c r="E35" s="243">
        <v>0.97474000000000005</v>
      </c>
      <c r="F35" s="143">
        <v>76.94</v>
      </c>
      <c r="G35" s="1"/>
    </row>
    <row r="36" spans="1:7" ht="18" x14ac:dyDescent="0.3">
      <c r="A36" s="68">
        <v>35</v>
      </c>
      <c r="B36" s="30">
        <v>82583</v>
      </c>
      <c r="C36" s="30" t="s">
        <v>137</v>
      </c>
      <c r="D36" s="30" t="s">
        <v>711</v>
      </c>
      <c r="E36" s="243">
        <v>0.97474000000000005</v>
      </c>
      <c r="F36" s="135">
        <v>70.540000000000006</v>
      </c>
      <c r="G36" s="1"/>
    </row>
    <row r="37" spans="1:7" ht="18" x14ac:dyDescent="0.3">
      <c r="A37" s="68">
        <v>36</v>
      </c>
      <c r="B37" s="30">
        <v>82670</v>
      </c>
      <c r="C37" s="30" t="s">
        <v>139</v>
      </c>
      <c r="D37" s="30" t="s">
        <v>711</v>
      </c>
      <c r="E37" s="254">
        <v>0.97245000000000004</v>
      </c>
      <c r="F37" s="255">
        <v>67.88</v>
      </c>
      <c r="G37" s="1"/>
    </row>
    <row r="38" spans="1:7" ht="18" x14ac:dyDescent="0.3">
      <c r="A38" s="68">
        <v>37</v>
      </c>
      <c r="B38" s="30">
        <v>82699</v>
      </c>
      <c r="C38" s="33" t="s">
        <v>395</v>
      </c>
      <c r="D38" s="30" t="s">
        <v>689</v>
      </c>
      <c r="E38" s="288">
        <v>0.96362999999999999</v>
      </c>
      <c r="F38" s="94">
        <v>74.599999999999994</v>
      </c>
      <c r="G38" s="1"/>
    </row>
    <row r="39" spans="1:7" ht="18" x14ac:dyDescent="0.3">
      <c r="A39" s="68">
        <v>38</v>
      </c>
      <c r="B39" s="30">
        <v>82402</v>
      </c>
      <c r="C39" s="30" t="s">
        <v>102</v>
      </c>
      <c r="D39" s="30" t="s">
        <v>708</v>
      </c>
      <c r="E39" s="321">
        <v>0.95418000000000003</v>
      </c>
      <c r="F39" s="358">
        <v>58.26</v>
      </c>
      <c r="G39" s="1"/>
    </row>
    <row r="40" spans="1:7" ht="18" x14ac:dyDescent="0.3">
      <c r="A40" s="68">
        <v>39</v>
      </c>
      <c r="B40" s="30">
        <v>82633</v>
      </c>
      <c r="C40" s="30" t="s">
        <v>140</v>
      </c>
      <c r="D40" s="30" t="s">
        <v>711</v>
      </c>
      <c r="E40" s="383">
        <v>0.94706999999999997</v>
      </c>
      <c r="F40" s="384">
        <v>62.16</v>
      </c>
      <c r="G40" s="1"/>
    </row>
    <row r="41" spans="1:7" ht="18" x14ac:dyDescent="0.3">
      <c r="A41" s="68">
        <v>40</v>
      </c>
      <c r="B41" s="30">
        <v>82545</v>
      </c>
      <c r="C41" s="30" t="s">
        <v>104</v>
      </c>
      <c r="D41" s="30" t="s">
        <v>708</v>
      </c>
      <c r="E41" s="385">
        <v>0.93684000000000001</v>
      </c>
      <c r="F41" s="136">
        <v>70.319999999999993</v>
      </c>
      <c r="G41" s="1"/>
    </row>
    <row r="42" spans="1:7" ht="18" x14ac:dyDescent="0.3">
      <c r="A42" s="68">
        <v>41</v>
      </c>
      <c r="B42" s="30">
        <v>82632</v>
      </c>
      <c r="C42" s="30" t="s">
        <v>138</v>
      </c>
      <c r="D42" s="30" t="s">
        <v>711</v>
      </c>
      <c r="E42" s="386">
        <v>0.93347999999999998</v>
      </c>
      <c r="F42" s="85">
        <v>70.709999999999994</v>
      </c>
      <c r="G42" s="1"/>
    </row>
    <row r="43" spans="1:7" ht="18" x14ac:dyDescent="0.3">
      <c r="A43" s="68">
        <v>42</v>
      </c>
      <c r="B43" s="30">
        <v>82398</v>
      </c>
      <c r="C43" s="30" t="s">
        <v>500</v>
      </c>
      <c r="D43" s="30" t="s">
        <v>709</v>
      </c>
      <c r="E43" s="387">
        <v>0.93189</v>
      </c>
      <c r="F43" s="382">
        <v>66.16</v>
      </c>
      <c r="G43" s="1"/>
    </row>
    <row r="44" spans="1:7" ht="18" x14ac:dyDescent="0.3">
      <c r="A44" s="68">
        <v>43</v>
      </c>
      <c r="B44" s="30">
        <v>82437</v>
      </c>
      <c r="C44" s="30" t="s">
        <v>504</v>
      </c>
      <c r="D44" s="30" t="s">
        <v>709</v>
      </c>
      <c r="E44" s="388">
        <v>0.93042999999999998</v>
      </c>
      <c r="F44" s="333">
        <v>65.89</v>
      </c>
      <c r="G44" s="1"/>
    </row>
    <row r="45" spans="1:7" ht="18" x14ac:dyDescent="0.3">
      <c r="A45" s="68">
        <v>44</v>
      </c>
      <c r="B45" s="30">
        <v>82664</v>
      </c>
      <c r="C45" s="30" t="s">
        <v>220</v>
      </c>
      <c r="D45" s="30" t="s">
        <v>710</v>
      </c>
      <c r="E45" s="389">
        <v>0.93</v>
      </c>
      <c r="F45" s="390">
        <v>64.099999999999994</v>
      </c>
      <c r="G45" s="1"/>
    </row>
    <row r="46" spans="1:7" ht="18" x14ac:dyDescent="0.3">
      <c r="A46" s="68">
        <v>45</v>
      </c>
      <c r="B46" s="30">
        <v>82408</v>
      </c>
      <c r="C46" s="30" t="s">
        <v>105</v>
      </c>
      <c r="D46" s="30" t="s">
        <v>708</v>
      </c>
      <c r="E46" s="361">
        <v>0.92657999999999996</v>
      </c>
      <c r="F46" s="382">
        <v>66.180000000000007</v>
      </c>
      <c r="G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NILAI RAPORT</vt:lpstr>
      <vt:lpstr>NILAI CSO</vt:lpstr>
      <vt:lpstr>RANKING CSO PEMOL REG</vt:lpstr>
      <vt:lpstr>RANKING CSO PEMOL PKWT PROVIS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2026-07-28T15:42:48Z</dcterms:created>
  <dcterms:modified xsi:type="dcterms:W3CDTF">2026-07-28T18:25:32Z</dcterms:modified>
</cp:coreProperties>
</file>